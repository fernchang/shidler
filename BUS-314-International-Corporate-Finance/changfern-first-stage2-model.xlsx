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fernchang/Desktop/"/>
    </mc:Choice>
  </mc:AlternateContent>
  <xr:revisionPtr revIDLastSave="0" documentId="8_{05856EA2-F672-0144-8A4C-19DE7DB03504}" xr6:coauthVersionLast="47" xr6:coauthVersionMax="47" xr10:uidLastSave="{00000000-0000-0000-0000-000000000000}"/>
  <bookViews>
    <workbookView xWindow="10920" yWindow="760" windowWidth="20520" windowHeight="1692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4" l="1"/>
  <c r="C25" i="4"/>
  <c r="C22" i="4"/>
  <c r="C20" i="4"/>
  <c r="C16" i="4"/>
  <c r="C35" i="4" s="1"/>
  <c r="C14" i="4"/>
  <c r="C56" i="4" s="1"/>
  <c r="C13" i="4"/>
  <c r="C57" i="4" s="1"/>
  <c r="C12" i="4"/>
  <c r="C9" i="4"/>
  <c r="C28" i="3"/>
  <c r="C20" i="3"/>
  <c r="C13" i="3"/>
  <c r="C14" i="3" s="1"/>
  <c r="C30" i="3" s="1"/>
  <c r="D18" i="2"/>
  <c r="D16" i="2"/>
  <c r="D14" i="2"/>
  <c r="D13" i="2"/>
  <c r="D11" i="2"/>
  <c r="D10" i="2"/>
  <c r="D9" i="2"/>
  <c r="D8" i="2"/>
  <c r="C8" i="2"/>
  <c r="C67" i="4" s="1"/>
  <c r="D7" i="2"/>
  <c r="C6" i="2"/>
  <c r="D6" i="2" s="1"/>
  <c r="D5" i="2"/>
  <c r="D4" i="2"/>
  <c r="H18" i="1"/>
  <c r="G18" i="1"/>
  <c r="C29" i="4" s="1"/>
  <c r="D14" i="1"/>
  <c r="C14" i="1"/>
  <c r="D9" i="1"/>
  <c r="C9" i="1"/>
  <c r="C23" i="4" s="1"/>
  <c r="H8" i="1"/>
  <c r="H13" i="1" s="1"/>
  <c r="H20" i="1" s="1"/>
  <c r="D18" i="1" s="1"/>
  <c r="G8" i="1"/>
  <c r="G13" i="1" s="1"/>
  <c r="C73" i="4" l="1"/>
  <c r="C75" i="4"/>
  <c r="D20" i="1"/>
  <c r="C15" i="4" s="1"/>
  <c r="G20" i="1"/>
  <c r="C18" i="1" s="1"/>
  <c r="C20" i="1" s="1"/>
  <c r="C30" i="4"/>
  <c r="C42" i="4"/>
  <c r="C64" i="4"/>
  <c r="C24" i="4"/>
  <c r="C58" i="4"/>
  <c r="C36" i="4"/>
  <c r="C27" i="4"/>
  <c r="C41" i="4"/>
  <c r="C63" i="4"/>
  <c r="C74" i="4"/>
  <c r="C12" i="2"/>
  <c r="C21" i="4"/>
  <c r="C33" i="4" s="1"/>
  <c r="C55" i="4"/>
  <c r="C66" i="4"/>
  <c r="C28" i="4" l="1"/>
  <c r="C69" i="4" s="1"/>
  <c r="C21" i="1"/>
  <c r="C15" i="2"/>
  <c r="D12" i="2"/>
  <c r="C65" i="4"/>
  <c r="C72" i="4"/>
  <c r="C54" i="4"/>
  <c r="C34" i="4"/>
  <c r="C17" i="2" l="1"/>
  <c r="C51" i="4"/>
  <c r="C19" i="4"/>
  <c r="C59" i="4"/>
  <c r="D15" i="2"/>
  <c r="C68" i="4"/>
  <c r="C48" i="4"/>
  <c r="C47" i="4" l="1"/>
  <c r="C46" i="4"/>
  <c r="C43" i="4"/>
  <c r="C60" i="4"/>
  <c r="C50" i="4"/>
  <c r="C49" i="4"/>
  <c r="C19" i="2"/>
  <c r="D19" i="2" s="1"/>
  <c r="D17" i="2"/>
  <c r="C78" i="4" l="1"/>
  <c r="C8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000-000001000000}">
      <text>
        <r>
          <rPr>
            <sz val="10"/>
            <rFont val="Arial"/>
            <family val="2"/>
          </rPr>
          <t>Adam Stauffer:
Source: ExxonMobil 8-K FY2024. Cash and cash equivalents.</t>
        </r>
      </text>
    </comment>
    <comment ref="D5" authorId="0" shapeId="0" xr:uid="{00000000-0006-0000-0000-000008000000}">
      <text>
        <r>
          <rPr>
            <sz val="10"/>
            <rFont val="Arial"/>
            <family val="2"/>
          </rPr>
          <t>Adam Stauffer:
Source: ExxonMobil 8-K FY2024. Cash and cash equivalents (Dec 31, 2023).</t>
        </r>
      </text>
    </comment>
    <comment ref="G5" authorId="0" shapeId="0" xr:uid="{00000000-0006-0000-0000-00000F000000}">
      <text>
        <r>
          <rPr>
            <sz val="10"/>
            <rFont val="Arial"/>
            <family val="2"/>
          </rPr>
          <t>Adam Stauffer:
Source: ExxonMobil 8-K FY2024. Notes and loans payable (short-term debt).</t>
        </r>
      </text>
    </comment>
    <comment ref="H5" authorId="0" shapeId="0" xr:uid="{00000000-0006-0000-0000-000016000000}">
      <text>
        <r>
          <rPr>
            <sz val="10"/>
            <rFont val="Arial"/>
            <family val="2"/>
          </rPr>
          <t>Adam Stauffer:
Source: ExxonMobil 8-K FY2024. Notes and loans payable (Dec 31, 2023).</t>
        </r>
      </text>
    </comment>
    <comment ref="C6" authorId="0" shapeId="0" xr:uid="{00000000-0006-0000-0000-000002000000}">
      <text>
        <r>
          <rPr>
            <sz val="10"/>
            <rFont val="Arial"/>
            <family val="2"/>
          </rPr>
          <t>Adam Stauffer:
Source: ExxonMobil 8-K FY2024. Notes and accounts receivable – net.</t>
        </r>
      </text>
    </comment>
    <comment ref="D6" authorId="0" shapeId="0" xr:uid="{00000000-0006-0000-0000-000009000000}">
      <text>
        <r>
          <rPr>
            <sz val="10"/>
            <rFont val="Arial"/>
            <family val="2"/>
          </rPr>
          <t>Adam Stauffer:
Source: ExxonMobil 8-K FY2024. Notes and accounts receivable – net (Dec 31, 2023).</t>
        </r>
      </text>
    </comment>
    <comment ref="G6" authorId="0" shapeId="0" xr:uid="{00000000-0006-0000-0000-000010000000}">
      <text>
        <r>
          <rPr>
            <sz val="10"/>
            <rFont val="Arial"/>
            <family val="2"/>
          </rPr>
          <t>Adam Stauffer:
Source: ExxonMobil 8-K FY2024. Estimated accounts payable portion of 'Accounts payable and accrued liabilities' ($61,297M total). Full breakdown in 10-K notes.</t>
        </r>
      </text>
    </comment>
    <comment ref="H6" authorId="0" shapeId="0" xr:uid="{00000000-0006-0000-0000-000017000000}">
      <text>
        <r>
          <rPr>
            <sz val="10"/>
            <rFont val="Arial"/>
            <family val="2"/>
          </rPr>
          <t>Adam Stauffer:
Source: ExxonMobil 8-K FY2024. Estimated accounts payable portion of 'AP and accrued liabilities' ($58,037M total, Dec 31, 2023).</t>
        </r>
      </text>
    </comment>
    <comment ref="C7" authorId="0" shapeId="0" xr:uid="{00000000-0006-0000-0000-000003000000}">
      <text>
        <r>
          <rPr>
            <sz val="10"/>
            <rFont val="Arial"/>
            <family val="2"/>
          </rPr>
          <t>Adam Stauffer:
Source: ExxonMobil 8-K FY2024. Inventories: crude oil, products &amp; merchandise ($19,444M) + materials &amp; supplies ($4,080M).</t>
        </r>
      </text>
    </comment>
    <comment ref="D7" authorId="0" shapeId="0" xr:uid="{00000000-0006-0000-0000-00000A000000}">
      <text>
        <r>
          <rPr>
            <sz val="10"/>
            <rFont val="Arial"/>
            <family val="2"/>
          </rPr>
          <t>Adam Stauffer:
Source: ExxonMobil 8-K FY2024. Inventories: crude/products ($20,528M) + materials ($4,592M) as of Dec 31, 2023.</t>
        </r>
      </text>
    </comment>
    <comment ref="G7" authorId="0" shapeId="0" xr:uid="{00000000-0006-0000-0000-000011000000}">
      <text>
        <r>
          <rPr>
            <sz val="10"/>
            <rFont val="Arial"/>
            <family val="2"/>
          </rPr>
          <t>Adam Stauffer:
Source: ExxonMobil 8-K FY2024. Includes income taxes payable ($4,055M) and remaining accrued liabilities. Total current liabilities = $70,307M.</t>
        </r>
      </text>
    </comment>
    <comment ref="H7" authorId="0" shapeId="0" xr:uid="{00000000-0006-0000-0000-000018000000}">
      <text>
        <r>
          <rPr>
            <sz val="10"/>
            <rFont val="Arial"/>
            <family val="2"/>
          </rPr>
          <t>Adam Stauffer:
Source: ExxonMobil 8-K FY2024. Income taxes payable ($3,189M) plus remaining accrued liabilities. Total current liabilities 2023 = $65,316M.</t>
        </r>
      </text>
    </comment>
    <comment ref="C8" authorId="0" shapeId="0" xr:uid="{00000000-0006-0000-0000-000004000000}">
      <text>
        <r>
          <rPr>
            <sz val="10"/>
            <rFont val="Arial"/>
            <family val="2"/>
          </rPr>
          <t>Adam Stauffer:
Source: ExxonMobil 8-K FY2024. Other current assets ($1,598M) + restricted cash ($158M).</t>
        </r>
      </text>
    </comment>
    <comment ref="D8" authorId="0" shapeId="0" xr:uid="{00000000-0006-0000-0000-00000B000000}">
      <text>
        <r>
          <rPr>
            <sz val="10"/>
            <rFont val="Arial"/>
            <family val="2"/>
          </rPr>
          <t>Adam Stauffer:
Source: ExxonMobil 8-K FY2024. Other current assets (Dec 31, 2023).</t>
        </r>
      </text>
    </comment>
    <comment ref="G10" authorId="0" shapeId="0" xr:uid="{00000000-0006-0000-0000-000012000000}">
      <text>
        <r>
          <rPr>
            <sz val="10"/>
            <rFont val="Arial"/>
            <family val="2"/>
          </rPr>
          <t>Adam Stauffer:
Source: ExxonMobil 8-K FY2024. Long-term debt.</t>
        </r>
      </text>
    </comment>
    <comment ref="H10" authorId="0" shapeId="0" xr:uid="{00000000-0006-0000-0000-000019000000}">
      <text>
        <r>
          <rPr>
            <sz val="10"/>
            <rFont val="Arial"/>
            <family val="2"/>
          </rPr>
          <t>Adam Stauffer:
Source: ExxonMobil 8-K FY2024. Long-term debt (Dec 31, 2023).</t>
        </r>
      </text>
    </comment>
    <comment ref="G11" authorId="0" shapeId="0" xr:uid="{00000000-0006-0000-0000-000013000000}">
      <text>
        <r>
          <rPr>
            <sz val="10"/>
            <rFont val="Arial"/>
            <family val="2"/>
          </rPr>
          <t>Source: ExxonMobil 8-K FY2024. Other long-term liabilities: Post-retirement benefits ($9,700M) + Deferred income tax ($39,042M) + LT obligations to equity companies ($1,346M) + Other LT obligations ($25,719M) = $75,807M. Per U.S. GAAP, noncontrolling interests ($6,901M) are classified in equity.</t>
        </r>
      </text>
    </comment>
    <comment ref="H11" authorId="0" shapeId="0" xr:uid="{00000000-0006-0000-0000-00001A000000}">
      <text>
        <r>
          <rPr>
            <sz val="10"/>
            <rFont val="Arial"/>
            <family val="2"/>
          </rPr>
          <t>Source: ExxonMobil 8-K FY2024. Other LT liabilities (Dec 31, 2023). Per current GAAP, NCI ($7,736M) is classified in equity.</t>
        </r>
      </text>
    </comment>
    <comment ref="C12" authorId="0" shapeId="0" xr:uid="{00000000-0006-0000-0000-000005000000}">
      <text>
        <r>
          <rPr>
            <sz val="10"/>
            <rFont val="Arial"/>
            <family val="2"/>
          </rPr>
          <t>Adam Stauffer:
Source: Estimated gross PP&amp;E based on net PP&amp;E of $294,318M (per ExxonMobil 8-K FY2024) and accumulated depreciation. Gross includes ~$79B Pioneer assets acquired May 2024. Full detail in 10-K notes.</t>
        </r>
      </text>
    </comment>
    <comment ref="D12" authorId="0" shapeId="0" xr:uid="{00000000-0006-0000-0000-00000C000000}">
      <text>
        <r>
          <rPr>
            <sz val="10"/>
            <rFont val="Arial"/>
            <family val="2"/>
          </rPr>
          <t>Adam Stauffer:
Source: Estimated gross PP&amp;E (Dec 31, 2023); net PP&amp;E per 8-K = $214,940M. Pre-Pioneer acquisition balance sheet. Full detail in 2023 10-K notes.</t>
        </r>
      </text>
    </comment>
    <comment ref="C13" authorId="0" shapeId="0" xr:uid="{00000000-0006-0000-0000-000006000000}">
      <text>
        <r>
          <rPr>
            <sz val="10"/>
            <rFont val="Arial"/>
            <family val="2"/>
          </rPr>
          <t>Adam Stauffer:
Source: Estimated accumulated depreciation; gross PP&amp;E ($581,000M) minus net PP&amp;E ($294,318M per 8-K FY2024).</t>
        </r>
      </text>
    </comment>
    <comment ref="D13" authorId="0" shapeId="0" xr:uid="{00000000-0006-0000-0000-00000D000000}">
      <text>
        <r>
          <rPr>
            <sz val="10"/>
            <rFont val="Arial"/>
            <family val="2"/>
          </rPr>
          <t>Adam Stauffer:
Source: Estimated accumulated depreciation (Dec 31, 2023); gross PP&amp;E ($503,000M) minus net PP&amp;E ($214,940M per 8-K FY2024).</t>
        </r>
      </text>
    </comment>
    <comment ref="G16" authorId="0" shapeId="0" xr:uid="{00000000-0006-0000-0000-000014000000}">
      <text>
        <r>
          <rPr>
            <sz val="10"/>
            <rFont val="Arial"/>
            <family val="2"/>
          </rPr>
          <t>Adam Stauffer:
Source: ExxonMobil 8-K FY2024. Common stock without par value (9,000M authorized, 8,019M issued).</t>
        </r>
      </text>
    </comment>
    <comment ref="H16" authorId="0" shapeId="0" xr:uid="{00000000-0006-0000-0000-00001B000000}">
      <text>
        <r>
          <rPr>
            <sz val="10"/>
            <rFont val="Arial"/>
            <family val="2"/>
          </rPr>
          <t>Adam Stauffer:
Source: ExxonMobil 8-K FY2024. Common stock without par value (Dec 31, 2023).</t>
        </r>
      </text>
    </comment>
    <comment ref="C17" authorId="0" shapeId="0" xr:uid="{00000000-0006-0000-0000-000007000000}">
      <text>
        <r>
          <rPr>
            <sz val="10"/>
            <rFont val="Arial"/>
            <family val="2"/>
          </rPr>
          <t>Adam Stauffer:
Source: Estimated goodwill/intangibles; primarily from Pioneer Natural Resources acquisition (May 2024) and legacy intangible assets. Per ExxonMobil 8-K FY2024 'Other assets including intangibles' = $19,967M total.</t>
        </r>
      </text>
    </comment>
    <comment ref="D17" authorId="0" shapeId="0" xr:uid="{00000000-0006-0000-0000-00000E000000}">
      <text>
        <r>
          <rPr>
            <sz val="10"/>
            <rFont val="Arial"/>
            <family val="2"/>
          </rPr>
          <t>Adam Stauffer:
Source: Estimated goodwill/intangibles as of Dec 31, 2023 (pre-Pioneer acquisition). Per ExxonMobil 8-K: 'Other assets including intangibles' = $17,138M total for FY2023.</t>
        </r>
      </text>
    </comment>
    <comment ref="G17" authorId="0" shapeId="0" xr:uid="{00000000-0006-0000-0000-000015000000}">
      <text>
        <r>
          <rPr>
            <sz val="10"/>
            <rFont val="Arial"/>
            <family val="2"/>
          </rPr>
          <t>Source: ExxonMobil 8-K FY2024. Retained earnings = ExxonMobil share of retained earnings net of treasury/AOCI ($217,467M) + Noncontrolling interests ($6,901M) = $224,368M. Combined for simplified two-row equity presentation.</t>
        </r>
      </text>
    </comment>
    <comment ref="H17" authorId="0" shapeId="0" xr:uid="{00000000-0006-0000-0000-00001C000000}">
      <text>
        <r>
          <rPr>
            <sz val="10"/>
            <rFont val="Arial"/>
            <family val="2"/>
          </rPr>
          <t>Source: ExxonMobil 8-K FY2024. Retained earnings = ExxonMobil share net of treasury/AOCI ($187,021M) + Noncontrolling interests ($7,736M) = $194,757M. Combined for simplified equity presentation.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100-000001000000}">
      <text>
        <r>
          <rPr>
            <sz val="10"/>
            <rFont val="Arial"/>
            <family val="2"/>
          </rPr>
          <t>Adam Stauffer:
Source: ExxonMobil 8-K FY2024 Earnings Release, https://www.sec.gov/Archives/edgar/data/34088/000003408825000006/f8k4q24991.htm
Total revenues and other income: Sales &amp; operating revenue ($339,247M) + Income from equity affiliates ($6,194M) + Other income ($4,144M)</t>
        </r>
      </text>
    </comment>
    <comment ref="C5" authorId="0" shapeId="0" xr:uid="{00000000-0006-0000-0100-000002000000}">
      <text>
        <r>
          <rPr>
            <sz val="10"/>
            <rFont val="Arial"/>
            <family val="2"/>
          </rPr>
          <t>Adam Stauffer:
Source: ExxonMobil 8-K FY2024. Broad COGS: Crude oil &amp; product purchases ($199,454M) + Production &amp; manufacturing ($39,609M) + Other taxes &amp; duties ($26,288M) + SG&amp;A ($9,976M) + Exploration ($826M) + Non-service pension ($121M)</t>
        </r>
      </text>
    </comment>
    <comment ref="C7" authorId="0" shapeId="0" xr:uid="{00000000-0006-0000-0100-000003000000}">
      <text>
        <r>
          <rPr>
            <sz val="10"/>
            <rFont val="Arial"/>
            <family val="2"/>
          </rPr>
          <t>Adam Stauffer:
Source: ExxonMobil 8-K FY2024. Depreciation and depletion (includes impairments).</t>
        </r>
      </text>
    </comment>
    <comment ref="C8" authorId="0" shapeId="0" xr:uid="{00000000-0006-0000-0100-000004000000}">
      <text>
        <r>
          <rPr>
            <sz val="10"/>
            <rFont val="Arial"/>
            <family val="2"/>
          </rPr>
          <t>Adam Stauffer:
EBIT = Operating margin less depreciation</t>
        </r>
      </text>
    </comment>
    <comment ref="C10" authorId="0" shapeId="0" xr:uid="{00000000-0006-0000-0100-000005000000}">
      <text>
        <r>
          <rPr>
            <sz val="10"/>
            <rFont val="Arial"/>
            <family val="2"/>
          </rPr>
          <t>Adam Stauffer:
Other income ($10,338M equity affiliates + other) already included in Net Sales (C4). Set to 0 to avoid double-counting.</t>
        </r>
      </text>
    </comment>
    <comment ref="C11" authorId="0" shapeId="0" xr:uid="{00000000-0006-0000-0100-000006000000}">
      <text>
        <r>
          <rPr>
            <sz val="10"/>
            <rFont val="Arial"/>
            <family val="2"/>
          </rPr>
          <t>Adam Stauffer:
Source: ExxonMobil 8-K FY2024. Interest expense.</t>
        </r>
      </text>
    </comment>
    <comment ref="C12" authorId="0" shapeId="0" xr:uid="{00000000-0006-0000-0100-000007000000}">
      <text>
        <r>
          <rPr>
            <sz val="10"/>
            <rFont val="Arial"/>
            <family val="2"/>
          </rPr>
          <t>Adam Stauffer:
Taxable income = EBIT + Other income - Interest expense</t>
        </r>
      </text>
    </comment>
    <comment ref="C14" authorId="0" shapeId="0" xr:uid="{00000000-0006-0000-0100-000008000000}">
      <text>
        <r>
          <rPr>
            <sz val="10"/>
            <rFont val="Arial"/>
            <family val="2"/>
          </rPr>
          <t>Adam Stauffer:
Source: ExxonMobil 8-K FY2024. Taxes = GAAP income tax ($13,810M) + net income attributable to noncontrolling interests ($1,383M). Adjusted to derive ExxonMobil-share net income.</t>
        </r>
      </text>
    </comment>
    <comment ref="C15" authorId="0" shapeId="0" xr:uid="{00000000-0006-0000-0100-000009000000}">
      <text>
        <r>
          <rPr>
            <sz val="10"/>
            <rFont val="Arial"/>
            <family val="2"/>
          </rPr>
          <t>Adam Stauffer:
Net income (ExxonMobil share)</t>
        </r>
      </text>
    </comment>
    <comment ref="C18" authorId="0" shapeId="0" xr:uid="{00000000-0006-0000-0100-00000A000000}">
      <text>
        <r>
          <rPr>
            <sz val="10"/>
            <rFont val="Arial"/>
            <family val="2"/>
          </rPr>
          <t>Adam Stauffer:
Source: ExxonMobil 8-K FY2024. Cash dividends to ExxonMobil shareholders.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200-000001000000}">
      <text>
        <r>
          <rPr>
            <sz val="10"/>
            <rFont val="Arial"/>
            <family val="2"/>
          </rPr>
          <t>Adam Stauffer:
Source: ExxonMobil 8-K FY2024. Net income attributable to ExxonMobil (U.S. GAAP).</t>
        </r>
      </text>
    </comment>
    <comment ref="C6" authorId="0" shapeId="0" xr:uid="{00000000-0006-0000-0200-000002000000}">
      <text>
        <r>
          <rPr>
            <sz val="10"/>
            <rFont val="Arial"/>
            <family val="2"/>
          </rPr>
          <t>Adam Stauffer:
Source: ExxonMobil 8-K FY2024. Depreciation and depletion (includes impairments).</t>
        </r>
      </text>
    </comment>
    <comment ref="C8" authorId="0" shapeId="0" xr:uid="{00000000-0006-0000-0200-000003000000}">
      <text>
        <r>
          <rPr>
            <sz val="10"/>
            <rFont val="Arial"/>
            <family val="2"/>
          </rPr>
          <t>Adam Stauffer:
Source: Derived from Balance Sheet changes FY2023→FY2024. Accounts receivable increased from $38,015M to $43,681M = cash use of $5,666M.</t>
        </r>
      </text>
    </comment>
    <comment ref="C9" authorId="0" shapeId="0" xr:uid="{00000000-0006-0000-0200-000004000000}">
      <text>
        <r>
          <rPr>
            <sz val="10"/>
            <rFont val="Arial"/>
            <family val="2"/>
          </rPr>
          <t>Adam Stauffer:
Source: Derived from Balance Sheet changes. Inventories decreased from $25,120M to $23,524M = cash source of $1,596M.</t>
        </r>
      </text>
    </comment>
    <comment ref="C10" authorId="0" shapeId="0" xr:uid="{00000000-0006-0000-0200-000005000000}">
      <text>
        <r>
          <rPr>
            <sz val="10"/>
            <rFont val="Arial"/>
            <family val="2"/>
          </rPr>
          <t>Adam Stauffer:
Source: Derived from Balance Sheet changes. Other current assets decreased from $1,906M to $1,756M = cash source of $150M.</t>
        </r>
      </text>
    </comment>
    <comment ref="C11" authorId="0" shapeId="0" xr:uid="{00000000-0006-0000-0200-000006000000}">
      <text>
        <r>
          <rPr>
            <sz val="10"/>
            <rFont val="Arial"/>
            <family val="2"/>
          </rPr>
          <t>Adam Stauffer:
Source: Estimated from Balance Sheet changes. Accounts payable estimated increase = cash source.</t>
        </r>
      </text>
    </comment>
    <comment ref="C12" authorId="0" shapeId="0" xr:uid="{00000000-0006-0000-0200-000007000000}">
      <text>
        <r>
          <rPr>
            <sz val="10"/>
            <rFont val="Arial"/>
            <family val="2"/>
          </rPr>
          <t>Adam Stauffer:
Source: Plug value to reconcile total operating cash flow to $55,022M per ExxonMobil 8-K FY2024. Includes all other working capital movements.</t>
        </r>
      </text>
    </comment>
    <comment ref="C17" authorId="0" shapeId="0" xr:uid="{00000000-0006-0000-0200-000008000000}">
      <text>
        <r>
          <rPr>
            <sz val="10"/>
            <rFont val="Arial"/>
            <family val="2"/>
          </rPr>
          <t>Adam Stauffer:
Source: ExxonMobil 8-K FY2024. Additions to property, plant and equipment.</t>
        </r>
      </text>
    </comment>
    <comment ref="C18" authorId="0" shapeId="0" xr:uid="{00000000-0006-0000-0200-000009000000}">
      <text>
        <r>
          <rPr>
            <sz val="10"/>
            <rFont val="Arial"/>
            <family val="2"/>
          </rPr>
          <t>Adam Stauffer:
Source: ExxonMobil 8-K FY2024. Proceeds from asset sales and returns of investments.</t>
        </r>
      </text>
    </comment>
    <comment ref="C19" authorId="0" shapeId="0" xr:uid="{00000000-0006-0000-0200-00000A000000}">
      <text>
        <r>
          <rPr>
            <sz val="10"/>
            <rFont val="Arial"/>
            <family val="2"/>
          </rPr>
          <t>Source: ExxonMobil 8-K FY2024. Net other investing: Additional investments (-$3,299M) + other investing (+$1,926M) + cash acquired from M&amp;A ($754M) = -$619M. Total investing CF = -$19,938M per 8-K.</t>
        </r>
      </text>
    </comment>
    <comment ref="C23" authorId="0" shapeId="0" xr:uid="{00000000-0006-0000-0200-00000B000000}">
      <text>
        <r>
          <rPr>
            <sz val="10"/>
            <rFont val="Arial"/>
            <family val="2"/>
          </rPr>
          <t>Adam Stauffer:
Source: ExxonMobil 8-K FY2024. Additions to long-term debt.</t>
        </r>
      </text>
    </comment>
    <comment ref="C24" authorId="0" shapeId="0" xr:uid="{00000000-0006-0000-0200-00000C000000}">
      <text>
        <r>
          <rPr>
            <sz val="10"/>
            <rFont val="Arial"/>
            <family val="2"/>
          </rPr>
          <t>Adam Stauffer:
Source: ExxonMobil 8-K FY2024. Reductions in LT debt (-$1,150M) + reductions in ST debt (-$4,743M) + debt with &lt;3mo maturity (-$18M) + contingent consideration (-$27M) = net -$5,938M. Rounded for template.</t>
        </r>
      </text>
    </comment>
    <comment ref="C25" authorId="0" shapeId="0" xr:uid="{00000000-0006-0000-0200-00000D000000}">
      <text>
        <r>
          <rPr>
            <sz val="10"/>
            <rFont val="Arial"/>
            <family val="2"/>
          </rPr>
          <t>Adam Stauffer:
Source: ExxonMobil 8-K FY2024. Cash dividends to ExxonMobil shareholders.</t>
        </r>
      </text>
    </comment>
    <comment ref="C26" authorId="0" shapeId="0" xr:uid="{00000000-0006-0000-0200-00000E000000}">
      <text>
        <r>
          <rPr>
            <sz val="10"/>
            <rFont val="Arial"/>
            <family val="2"/>
          </rPr>
          <t>Adam Stauffer:
Source: ExxonMobil 8-K FY2024. Common stock acquired (share repurchases).</t>
        </r>
      </text>
    </comment>
    <comment ref="C27" authorId="0" shapeId="0" xr:uid="{00000000-0006-0000-0200-00000F000000}">
      <text>
        <r>
          <rPr>
            <sz val="10"/>
            <rFont val="Arial"/>
            <family val="2"/>
          </rPr>
          <t>Source: ExxonMobil 8-K FY2024. Other financing: dividends to NCI (-$658M) + changes in NCI (-$791M) + inflows from NCI major projects (+$32M) - FX effects (-$676M) + other rounding adjustments = net -$2,248M. Adjusted to reconcile CFS to Balance Sheet cash change of -$8,510M.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300-000001000000}">
      <text>
        <r>
          <rPr>
            <sz val="10"/>
            <rFont val="Arial"/>
            <family val="2"/>
          </rPr>
          <t>Adam Stauffer:
Source: ExxonMobil 8-K FY2024. Effective tax rate = Income tax expense ($13,810M) / Pre-tax income ($48,873M) = 28.3%. (GAAP basis, consolidated)</t>
        </r>
      </text>
    </comment>
    <comment ref="C19" authorId="0" shapeId="0" xr:uid="{00000000-0006-0000-0300-000002000000}">
      <text>
        <r>
          <rPr>
            <sz val="10"/>
            <rFont val="Arial"/>
            <family val="2"/>
          </rPr>
          <t>Adam Stauffer:
After-tax operating income = Net income + (1 - tax rate) × Interest expense. Fixed formula: was incorrectly referencing IS row 13 (blank) instead of IS row 11 (interest expense).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<sst xmlns="http://schemas.openxmlformats.org/spreadsheetml/2006/main" count="309" uniqueCount="277">
  <si>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ExxonMobil Corporation (XOM)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</si>
  <si>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</si>
  <si>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</si>
  <si>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</si>
  <si>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</si>
  <si>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</si>
  <si>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</si>
  <si>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</si>
  <si>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</si>
  <si>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</si>
  <si>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</si>
  <si>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</si>
  <si>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</si>
  <si>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</si>
  <si>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</si>
  <si>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</si>
  <si>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</si>
  <si>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</si>
  <si>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</si>
  <si>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</si>
  <si>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</si>
  <si>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</si>
  <si>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</si>
  <si>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</si>
  <si>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</si>
  <si>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</si>
  <si>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</si>
  <si>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</si>
  <si>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</si>
  <si>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</si>
  <si>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</si>
  <si>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</si>
  <si>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</si>
  <si>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</si>
  <si>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ExxonMobil 10-K FY2024, SEC EDGAR</t>
  </si>
  <si>
    <t>Income Statement — ExxonMobil Corporation (XOM)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</si>
  <si>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</si>
  <si>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</si>
  <si>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</si>
  <si>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</si>
  <si>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</si>
  <si>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</si>
  <si>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</si>
  <si>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</si>
  <si>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</si>
  <si>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</si>
  <si>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</si>
  <si>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</si>
  <si>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</si>
  <si>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</si>
  <si>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</si>
  <si>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ExxonMobil Corporation (XOM)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</si>
  <si>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</si>
  <si>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</si>
  <si>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</si>
  <si>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</si>
  <si>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</si>
  <si>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</si>
  <si>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</si>
  <si>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</si>
  <si>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</si>
  <si>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</si>
  <si>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</si>
  <si>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</si>
  <si>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</si>
  <si>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</si>
  <si>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</si>
  <si>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</si>
  <si>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</si>
  <si>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</si>
  <si>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</si>
  <si>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</si>
  <si>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</si>
  <si>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</si>
  <si>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</si>
  <si>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</si>
  <si>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</si>
  <si>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</si>
  <si>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ExxonMobil Corporation (XOM)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</si>
  <si>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</si>
  <si>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</si>
  <si>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</si>
  <si>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</si>
  <si>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</si>
  <si>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</si>
  <si>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</si>
  <si>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</si>
  <si>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</si>
  <si>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</si>
  <si>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</si>
  <si>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</si>
  <si>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</si>
  <si>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</si>
  <si>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</si>
  <si>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</si>
  <si>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</si>
  <si>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</si>
  <si>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</si>
  <si>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</si>
  <si>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</si>
  <si>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</si>
  <si>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</si>
  <si>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</si>
  <si>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</si>
  <si>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</si>
  <si>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</si>
  <si>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</si>
  <si>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</si>
  <si>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</si>
  <si>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</si>
  <si>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</si>
  <si>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</si>
  <si>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</si>
  <si>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</si>
  <si>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</si>
  <si>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</si>
  <si>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</si>
  <si>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</si>
  <si>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</si>
  <si>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</si>
  <si>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</si>
  <si>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</si>
  <si>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</si>
  <si>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</si>
  <si>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</si>
  <si>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</si>
  <si>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</si>
  <si>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</si>
  <si>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</si>
  <si>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</si>
  <si>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</si>
  <si>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</si>
  <si>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</si>
  <si>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</si>
  <si>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</si>
  <si>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</si>
  <si>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</si>
  <si>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</si>
  <si>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</si>
  <si>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</si>
  <si>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</si>
  <si>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</si>
  <si>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</si>
  <si>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</si>
  <si>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</si>
  <si>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</si>
  <si>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</si>
  <si>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</si>
  <si>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</si>
  <si>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</si>
  <si>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</si>
  <si>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</si>
  <si>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</si>
  <si>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</si>
  <si>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</si>
  <si>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</si>
  <si>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</si>
  <si>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</si>
  <si>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</si>
  <si>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</si>
  <si>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</si>
  <si>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</si>
  <si>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</si>
  <si>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</si>
  <si>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</si>
  <si>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</si>
  <si>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</si>
  <si>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</si>
  <si>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</si>
  <si>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</si>
  <si>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</si>
  <si>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</si>
  <si>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</si>
  <si>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</si>
  <si>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</si>
  <si>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</si>
  <si>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</si>
  <si>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</si>
  <si>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</si>
  <si>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</si>
  <si>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</si>
  <si>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</si>
  <si>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</si>
  <si>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</si>
  <si>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</si>
  <si>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</si>
  <si>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</si>
  <si>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</si>
  <si>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</si>
  <si>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</si>
  <si>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</si>
  <si>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</si>
  <si>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</si>
  <si>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</si>
  <si>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</si>
  <si>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</si>
  <si>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</si>
  <si>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</si>
  <si>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</si>
  <si>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</si>
  <si>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</si>
  <si>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</si>
  <si>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</si>
  <si>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</si>
  <si>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</si>
  <si>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</si>
  <si>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</si>
  <si>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</si>
  <si>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</si>
  <si>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</si>
  <si>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</si>
  <si>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</si>
  <si>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</si>
  <si>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</si>
  <si>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</si>
  <si>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</si>
  <si>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</si>
  <si>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</si>
  <si>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</si>
  <si>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</si>
  <si>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</si>
  <si>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</si>
  <si>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</si>
  <si>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</si>
  <si>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</si>
  <si>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</si>
  <si>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</si>
  <si>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</si>
  <si>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</si>
  <si>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</si>
  <si>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</si>
  <si>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</si>
  <si>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</si>
  <si>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</si>
  <si>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</si>
  <si>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</si>
  <si>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</si>
  <si>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</si>
  <si>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</si>
  <si>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</si>
  <si>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</si>
  <si>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</si>
  <si>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</si>
  <si>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</si>
  <si>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</si>
  <si>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</si>
  <si>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ExxonMobil Corporation (XOM)</t>
  </si>
  <si>
    <t>Company:</t>
  </si>
  <si>
    <t>ExxonMobil Corporation</t>
  </si>
  <si>
    <t>Ticker:</t>
  </si>
  <si>
    <t>XOM</t>
  </si>
  <si>
    <t>Industry:</t>
  </si>
  <si>
    <t>Energy – Integrated Oil &amp; Gas</t>
  </si>
  <si>
    <t>Fiscal Year (current):</t>
  </si>
  <si>
    <t>Fiscal Year (prior):</t>
  </si>
  <si>
    <t>Data Source:</t>
  </si>
  <si>
    <t>ExxonMobil 10-K FY2024, SEC EDGAR</t>
  </si>
  <si>
    <t>Units:</t>
  </si>
  <si>
    <t>All figures in millions of US dollars unless otherwise noted.</t>
  </si>
  <si>
    <t>Tax Rate:</t>
  </si>
  <si>
    <t>28.6% — use as analyst assumption (adjust to effective rate if preferred)</t>
  </si>
  <si>
    <t>Cost of Capital:</t>
  </si>
  <si>
    <t>8.2% — estimated WACC; students may refine using CAPM + class methodology</t>
  </si>
  <si>
    <t>Share Price:</t>
  </si>
  <si>
    <t>$111.73 — end-of-fiscal-year closing price</t>
  </si>
  <si>
    <t>Shares Outstanding:</t>
  </si>
  <si>
    <t>4,305M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</si>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</sst>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0.0%;\(0.0%\);\-"/>
    <numFmt numFmtId="167" formatCode="#,##0.000"/>
    <numFmt numFmtId="168" formatCode="0.0\x"/>
    <numFmt numFmtId="169" formatCode="0.0"/>
  </numFmts>
  <fonts count="2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Open Sans"/>
      <charset val="1"/>
    </font>
    <font>
      <b/>
      <sz val="13"/>
      <color rgb="FF1F3864"/>
      <name val="Open Sans"/>
      <charset val="1"/>
    </font>
    <font>
      <b/>
      <sz val="10"/>
      <color rgb="FFFFFFFF"/>
      <name val="Open Sans"/>
      <charset val="1"/>
    </font>
    <font>
      <b/>
      <sz val="9"/>
      <color rgb="FFFFFFFF"/>
      <name val="Open Sans"/>
      <charset val="1"/>
    </font>
    <font>
      <sz val="8"/>
      <color rgb="FF666666"/>
      <name val="Open Sans"/>
      <charset val="1"/>
    </font>
    <font>
      <sz val="10"/>
      <color rgb="FF000000"/>
      <name val="Open Sans"/>
      <charset val="1"/>
    </font>
    <font>
      <sz val="10"/>
      <color rgb="FF0000FF"/>
      <name val="Open Sans"/>
      <charset val="1"/>
    </font>
    <font>
      <b/>
      <sz val="10"/>
      <color rgb="FF000000"/>
      <name val="Open Sans"/>
      <charset val="1"/>
    </font>
    <font>
      <b/>
      <sz val="10"/>
      <color rgb="FF1F3864"/>
      <name val="Open Sans"/>
      <charset val="1"/>
    </font>
    <font>
      <b/>
      <sz val="11"/>
      <color rgb="FF1F3864"/>
      <name val="Open Sans"/>
      <charset val="1"/>
    </font>
    <font>
      <i/>
      <sz val="9"/>
      <color rgb="FF999999"/>
      <name val="Open Sans"/>
      <charset val="1"/>
    </font>
    <font>
      <sz val="9"/>
      <color rgb="FF444444"/>
      <name val="Open Sans"/>
      <charset val="1"/>
    </font>
    <font>
      <sz val="9"/>
      <color rgb="FF1F3864"/>
      <name val="Open Sans"/>
      <charset val="1"/>
    </font>
    <font>
      <sz val="11"/>
      <color rgb="FF000000"/>
      <name val="Cambria"/>
      <family val="1"/>
    </font>
    <font>
      <sz val="9"/>
      <color rgb="FF777777"/>
      <name val="Open Sans"/>
      <charset val="1"/>
    </font>
    <font>
      <sz val="9"/>
      <color rgb="FF888888"/>
      <name val="Open Sans"/>
      <charset val="1"/>
    </font>
    <font>
      <b/>
      <sz val="9"/>
      <color rgb="FF000000"/>
      <name val="Open Sans"/>
      <charset val="1"/>
    </font>
    <font>
      <sz val="8"/>
      <color rgb="FF000000"/>
      <name val="Open Sans"/>
      <charset val="1"/>
    </font>
    <font>
      <b/>
      <sz val="9"/>
      <color rgb="FF1F3864"/>
      <name val="Open Sans"/>
      <charset val="1"/>
    </font>
    <font>
      <sz val="9"/>
      <color rgb="FF000000"/>
      <name val="Open Sans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F99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horizontal="left" vertical="center"/>
    </xf>
    <xf numFmtId="0" fontId="2" fillId="4" borderId="0" xfId="0" applyFont="1" applyFill="1"/>
    <xf numFmtId="0" fontId="7" fillId="3" borderId="0" xfId="0" applyFont="1" applyFill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left" vertical="center"/>
    </xf>
    <xf numFmtId="3" fontId="7" fillId="7" borderId="1" xfId="0" applyNumberFormat="1" applyFont="1" applyFill="1" applyBorder="1" applyAlignment="1">
      <alignment horizontal="right" vertical="center"/>
    </xf>
    <xf numFmtId="3" fontId="10" fillId="7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12" fillId="0" borderId="0" xfId="0" applyFont="1"/>
    <xf numFmtId="3" fontId="12" fillId="0" borderId="0" xfId="0" applyNumberFormat="1" applyFont="1"/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164" fontId="8" fillId="5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164" fontId="9" fillId="7" borderId="0" xfId="0" applyNumberFormat="1" applyFont="1" applyFill="1" applyAlignment="1">
      <alignment horizontal="right" vertical="center"/>
    </xf>
    <xf numFmtId="165" fontId="7" fillId="8" borderId="0" xfId="0" applyNumberFormat="1" applyFont="1" applyFill="1"/>
    <xf numFmtId="3" fontId="7" fillId="7" borderId="0" xfId="0" applyNumberFormat="1" applyFont="1" applyFill="1"/>
    <xf numFmtId="0" fontId="6" fillId="3" borderId="0" xfId="0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4" fontId="7" fillId="7" borderId="0" xfId="0" applyNumberFormat="1" applyFont="1" applyFill="1" applyAlignment="1">
      <alignment horizontal="right" vertical="center"/>
    </xf>
    <xf numFmtId="167" fontId="7" fillId="7" borderId="0" xfId="0" applyNumberFormat="1" applyFont="1" applyFill="1" applyAlignment="1">
      <alignment horizontal="right" vertical="center"/>
    </xf>
    <xf numFmtId="164" fontId="15" fillId="10" borderId="1" xfId="0" applyNumberFormat="1" applyFont="1" applyFill="1" applyBorder="1" applyAlignment="1">
      <alignment horizontal="center" vertical="center"/>
    </xf>
    <xf numFmtId="168" fontId="15" fillId="10" borderId="1" xfId="0" applyNumberFormat="1" applyFont="1" applyFill="1" applyBorder="1" applyAlignment="1">
      <alignment horizontal="center" vertical="center"/>
    </xf>
    <xf numFmtId="166" fontId="15" fillId="10" borderId="1" xfId="0" applyNumberFormat="1" applyFont="1" applyFill="1" applyBorder="1" applyAlignment="1">
      <alignment horizontal="center" vertical="center"/>
    </xf>
    <xf numFmtId="169" fontId="15" fillId="10" borderId="1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9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3" fillId="0" borderId="0" xfId="0" applyFont="1"/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AAAAAA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8" sqref="C18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2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2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2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2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2">
      <c r="A5" s="1"/>
      <c r="B5" s="9" t="s">
        <v>8</v>
      </c>
      <c r="C5" s="10">
        <v>23029</v>
      </c>
      <c r="D5" s="10">
        <v>31539</v>
      </c>
      <c r="E5" s="5"/>
      <c r="F5" s="9" t="s">
        <v>9</v>
      </c>
      <c r="G5" s="10">
        <v>4955</v>
      </c>
      <c r="H5" s="10">
        <v>4090</v>
      </c>
    </row>
    <row r="6" spans="1:8" ht="15" customHeight="1" x14ac:dyDescent="0.2">
      <c r="A6" s="1"/>
      <c r="B6" s="9" t="s">
        <v>10</v>
      </c>
      <c r="C6" s="10">
        <v>43681</v>
      </c>
      <c r="D6" s="10">
        <v>38015</v>
      </c>
      <c r="E6" s="5"/>
      <c r="F6" s="9" t="s">
        <v>11</v>
      </c>
      <c r="G6" s="10">
        <v>52000</v>
      </c>
      <c r="H6" s="10">
        <v>50000</v>
      </c>
    </row>
    <row r="7" spans="1:8" ht="15" customHeight="1" x14ac:dyDescent="0.2">
      <c r="A7" s="1"/>
      <c r="B7" s="9" t="s">
        <v>12</v>
      </c>
      <c r="C7" s="10">
        <v>23524</v>
      </c>
      <c r="D7" s="10">
        <v>25120</v>
      </c>
      <c r="E7" s="5"/>
      <c r="F7" s="9" t="s">
        <v>13</v>
      </c>
      <c r="G7" s="10">
        <v>13352</v>
      </c>
      <c r="H7" s="10">
        <v>11226</v>
      </c>
    </row>
    <row r="8" spans="1:8" ht="15" customHeight="1" x14ac:dyDescent="0.2">
      <c r="A8" s="1"/>
      <c r="B8" s="9" t="s">
        <v>14</v>
      </c>
      <c r="C8" s="10">
        <v>1756</v>
      </c>
      <c r="D8" s="10">
        <v>1906</v>
      </c>
      <c r="E8" s="5"/>
      <c r="F8" s="11" t="s">
        <v>15</v>
      </c>
      <c r="G8" s="12">
        <f>SUM(G5:G7)</f>
        <v>70307</v>
      </c>
      <c r="H8" s="12">
        <f>SUM(H5:H7)</f>
        <v>65316</v>
      </c>
    </row>
    <row r="9" spans="1:8" ht="15" customHeight="1" x14ac:dyDescent="0.2">
      <c r="A9" s="1"/>
      <c r="B9" s="11" t="s">
        <v>16</v>
      </c>
      <c r="C9" s="13">
        <f>SUM(C5:C8)</f>
        <v>91990</v>
      </c>
      <c r="D9" s="13">
        <f>SUM(D5:D8)</f>
        <v>96580</v>
      </c>
      <c r="E9" s="5"/>
      <c r="F9" s="1"/>
      <c r="G9" s="1"/>
      <c r="H9" s="1"/>
    </row>
    <row r="10" spans="1:8" ht="6" customHeight="1" x14ac:dyDescent="0.2">
      <c r="A10" s="1"/>
      <c r="B10" s="1"/>
      <c r="C10" s="1"/>
      <c r="D10" s="1"/>
      <c r="E10" s="5"/>
      <c r="F10" s="9" t="s">
        <v>17</v>
      </c>
      <c r="G10" s="10">
        <v>36755</v>
      </c>
      <c r="H10" s="10">
        <v>37483</v>
      </c>
    </row>
    <row r="11" spans="1:8" ht="15.75" customHeight="1" x14ac:dyDescent="0.2">
      <c r="A11" s="1"/>
      <c r="B11" s="7" t="s">
        <v>18</v>
      </c>
      <c r="C11" s="8"/>
      <c r="D11" s="8"/>
      <c r="E11" s="5"/>
      <c r="F11" s="9" t="s">
        <v>19</v>
      </c>
      <c r="G11" s="10">
        <v>75807</v>
      </c>
      <c r="H11" s="10">
        <v>60980</v>
      </c>
    </row>
    <row r="12" spans="1:8" ht="15" customHeight="1" x14ac:dyDescent="0.2">
      <c r="A12" s="1"/>
      <c r="B12" s="9" t="s">
        <v>20</v>
      </c>
      <c r="C12" s="10">
        <v>581000</v>
      </c>
      <c r="D12" s="10">
        <v>503000</v>
      </c>
      <c r="E12" s="5"/>
      <c r="F12" s="1"/>
      <c r="G12" s="1"/>
      <c r="H12" s="1"/>
    </row>
    <row r="13" spans="1:8" ht="15" customHeight="1" x14ac:dyDescent="0.2">
      <c r="A13" s="1"/>
      <c r="B13" s="9" t="s">
        <v>21</v>
      </c>
      <c r="C13" s="10">
        <v>286682</v>
      </c>
      <c r="D13" s="10">
        <v>288060</v>
      </c>
      <c r="E13" s="5"/>
      <c r="F13" s="11" t="s">
        <v>22</v>
      </c>
      <c r="G13" s="12">
        <f>G8+G10+G11</f>
        <v>182869</v>
      </c>
      <c r="H13" s="12">
        <f>H8+H10+H11</f>
        <v>163779</v>
      </c>
    </row>
    <row r="14" spans="1:8" ht="15" customHeight="1" x14ac:dyDescent="0.2">
      <c r="A14" s="1"/>
      <c r="B14" s="11" t="s">
        <v>23</v>
      </c>
      <c r="C14" s="13">
        <f>C12-C13</f>
        <v>294318</v>
      </c>
      <c r="D14" s="13">
        <f>D12-D13</f>
        <v>214940</v>
      </c>
      <c r="E14" s="5"/>
      <c r="F14" s="1"/>
      <c r="G14" s="1"/>
      <c r="H14" s="1"/>
    </row>
    <row r="15" spans="1:8" ht="6" customHeight="1" x14ac:dyDescent="0.2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2">
      <c r="A16" s="1"/>
      <c r="B16" s="7" t="s">
        <v>25</v>
      </c>
      <c r="C16" s="8"/>
      <c r="D16" s="8"/>
      <c r="E16" s="5"/>
      <c r="F16" s="9" t="s">
        <v>26</v>
      </c>
      <c r="G16" s="10">
        <v>46238</v>
      </c>
      <c r="H16" s="10">
        <v>17781</v>
      </c>
    </row>
    <row r="17" spans="1:8" ht="15" customHeight="1" x14ac:dyDescent="0.2">
      <c r="A17" s="1"/>
      <c r="B17" s="9" t="s">
        <v>27</v>
      </c>
      <c r="C17" s="10">
        <v>6900</v>
      </c>
      <c r="D17" s="10">
        <v>4800</v>
      </c>
      <c r="E17" s="5"/>
      <c r="F17" s="9" t="s">
        <v>28</v>
      </c>
      <c r="G17" s="10">
        <v>224368</v>
      </c>
      <c r="H17" s="10">
        <v>194757</v>
      </c>
    </row>
    <row r="18" spans="1:8" ht="15" customHeight="1" x14ac:dyDescent="0.2">
      <c r="A18" s="1"/>
      <c r="B18" s="9" t="s">
        <v>29</v>
      </c>
      <c r="C18" s="14">
        <f>G20-C9-C14-C17</f>
        <v>60267</v>
      </c>
      <c r="D18" s="14">
        <f>H20-D9-D14-D17</f>
        <v>59997</v>
      </c>
      <c r="E18" s="5"/>
      <c r="F18" s="11" t="s">
        <v>30</v>
      </c>
      <c r="G18" s="12">
        <f>G16+G17</f>
        <v>270606</v>
      </c>
      <c r="H18" s="12">
        <f>H16+H17</f>
        <v>212538</v>
      </c>
    </row>
    <row r="19" spans="1:8" ht="6" customHeight="1" x14ac:dyDescent="0.2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2">
      <c r="A20" s="1"/>
      <c r="B20" s="15" t="s">
        <v>31</v>
      </c>
      <c r="C20" s="16">
        <f>C9+C14+C17+C18</f>
        <v>453475</v>
      </c>
      <c r="D20" s="16">
        <f>D9+D14+D17+D18</f>
        <v>376317</v>
      </c>
      <c r="E20" s="5"/>
      <c r="F20" s="15" t="s">
        <v>32</v>
      </c>
      <c r="G20" s="16">
        <f>G13+G18</f>
        <v>453475</v>
      </c>
      <c r="H20" s="16">
        <f>H13+H18</f>
        <v>376317</v>
      </c>
    </row>
    <row r="21" spans="1:8" ht="16.5" customHeight="1" x14ac:dyDescent="0.2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2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2">
      <c r="A1" s="1"/>
      <c r="B1" s="2" t="s">
        <v>35</v>
      </c>
      <c r="C1" s="1"/>
      <c r="D1" s="1"/>
    </row>
    <row r="2" spans="1:4" ht="18" customHeight="1" x14ac:dyDescent="0.2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2">
      <c r="A3" s="1"/>
      <c r="B3" s="21" t="s">
        <v>5</v>
      </c>
      <c r="C3" s="1"/>
      <c r="D3" s="1"/>
    </row>
    <row r="4" spans="1:4" ht="15" customHeight="1" x14ac:dyDescent="0.2">
      <c r="A4" s="1"/>
      <c r="B4" s="9" t="s">
        <v>38</v>
      </c>
      <c r="C4" s="22">
        <v>349585</v>
      </c>
      <c r="D4" s="23">
        <f t="shared" ref="D4:D19" si="0">IF(C$4=0,0,C4/C$4)</f>
        <v>1</v>
      </c>
    </row>
    <row r="5" spans="1:4" ht="15" customHeight="1" x14ac:dyDescent="0.2">
      <c r="A5" s="1"/>
      <c r="B5" s="9" t="s">
        <v>39</v>
      </c>
      <c r="C5" s="22">
        <v>276274</v>
      </c>
      <c r="D5" s="23">
        <f t="shared" si="0"/>
        <v>0.79029134545246504</v>
      </c>
    </row>
    <row r="6" spans="1:4" ht="15" customHeight="1" x14ac:dyDescent="0.2">
      <c r="A6" s="1"/>
      <c r="B6" s="9" t="s">
        <v>40</v>
      </c>
      <c r="C6" s="24">
        <f>C4-C5</f>
        <v>73311</v>
      </c>
      <c r="D6" s="23">
        <f t="shared" si="0"/>
        <v>0.20970865454753493</v>
      </c>
    </row>
    <row r="7" spans="1:4" ht="15" customHeight="1" x14ac:dyDescent="0.2">
      <c r="A7" s="1"/>
      <c r="B7" s="9" t="s">
        <v>41</v>
      </c>
      <c r="C7" s="22">
        <v>23442</v>
      </c>
      <c r="D7" s="25">
        <f t="shared" si="0"/>
        <v>6.7056652888424842E-2</v>
      </c>
    </row>
    <row r="8" spans="1:4" ht="15" customHeight="1" x14ac:dyDescent="0.2">
      <c r="A8" s="1"/>
      <c r="B8" s="11" t="s">
        <v>42</v>
      </c>
      <c r="C8" s="26">
        <f>C6-C7</f>
        <v>49869</v>
      </c>
      <c r="D8" s="23">
        <f t="shared" si="0"/>
        <v>0.1426520016591101</v>
      </c>
    </row>
    <row r="9" spans="1:4" ht="6" customHeight="1" x14ac:dyDescent="0.2">
      <c r="A9" s="1"/>
      <c r="B9" s="1"/>
      <c r="C9" s="1"/>
      <c r="D9" s="27">
        <f t="shared" si="0"/>
        <v>0</v>
      </c>
    </row>
    <row r="10" spans="1:4" ht="15" customHeight="1" x14ac:dyDescent="0.2">
      <c r="A10" s="1"/>
      <c r="B10" s="9" t="s">
        <v>43</v>
      </c>
      <c r="C10" s="22">
        <v>0</v>
      </c>
      <c r="D10" s="23">
        <f t="shared" si="0"/>
        <v>0</v>
      </c>
    </row>
    <row r="11" spans="1:4" ht="15" customHeight="1" x14ac:dyDescent="0.2">
      <c r="A11" s="1"/>
      <c r="B11" s="9" t="s">
        <v>44</v>
      </c>
      <c r="C11" s="22">
        <v>996</v>
      </c>
      <c r="D11" s="25">
        <f t="shared" si="0"/>
        <v>2.8490924953873879E-3</v>
      </c>
    </row>
    <row r="12" spans="1:4" ht="15" customHeight="1" x14ac:dyDescent="0.2">
      <c r="A12" s="1"/>
      <c r="B12" s="11" t="s">
        <v>45</v>
      </c>
      <c r="C12" s="24">
        <f>C8+C10-C11</f>
        <v>48873</v>
      </c>
      <c r="D12" s="23">
        <f t="shared" si="0"/>
        <v>0.13980290916372271</v>
      </c>
    </row>
    <row r="13" spans="1:4" ht="6" customHeight="1" x14ac:dyDescent="0.2">
      <c r="A13" s="1"/>
      <c r="B13" s="1"/>
      <c r="C13" s="1"/>
      <c r="D13" s="27">
        <f t="shared" si="0"/>
        <v>0</v>
      </c>
    </row>
    <row r="14" spans="1:4" ht="15" customHeight="1" x14ac:dyDescent="0.2">
      <c r="A14" s="1"/>
      <c r="B14" s="9" t="s">
        <v>46</v>
      </c>
      <c r="C14" s="22">
        <v>15193</v>
      </c>
      <c r="D14" s="25">
        <f t="shared" si="0"/>
        <v>4.3460102693193357E-2</v>
      </c>
    </row>
    <row r="15" spans="1:4" ht="15" customHeight="1" x14ac:dyDescent="0.2">
      <c r="A15" s="1"/>
      <c r="B15" s="11" t="s">
        <v>47</v>
      </c>
      <c r="C15" s="24">
        <f>C12-C14</f>
        <v>33680</v>
      </c>
      <c r="D15" s="23">
        <f t="shared" si="0"/>
        <v>9.6342806470529341E-2</v>
      </c>
    </row>
    <row r="16" spans="1:4" ht="6" customHeight="1" x14ac:dyDescent="0.2">
      <c r="A16" s="1"/>
      <c r="B16" s="1"/>
      <c r="C16" s="1"/>
      <c r="D16" s="27">
        <f t="shared" si="0"/>
        <v>0</v>
      </c>
    </row>
    <row r="17" spans="1:4" ht="15.75" customHeight="1" x14ac:dyDescent="0.2">
      <c r="A17" s="1"/>
      <c r="B17" s="7" t="s">
        <v>48</v>
      </c>
      <c r="C17" s="28">
        <f>C15-C16</f>
        <v>33680</v>
      </c>
      <c r="D17" s="27">
        <f t="shared" si="0"/>
        <v>9.6342806470529341E-2</v>
      </c>
    </row>
    <row r="18" spans="1:4" ht="15" customHeight="1" x14ac:dyDescent="0.2">
      <c r="A18" s="1"/>
      <c r="B18" s="9" t="s">
        <v>49</v>
      </c>
      <c r="C18" s="22">
        <v>16704</v>
      </c>
      <c r="D18" s="23">
        <f t="shared" si="0"/>
        <v>4.7782370525051132E-2</v>
      </c>
    </row>
    <row r="19" spans="1:4" ht="15" customHeight="1" x14ac:dyDescent="0.2">
      <c r="A19" s="1"/>
      <c r="B19" s="9" t="s">
        <v>50</v>
      </c>
      <c r="C19" s="24">
        <f>C17-C18</f>
        <v>16976</v>
      </c>
      <c r="D19" s="23">
        <f t="shared" si="0"/>
        <v>4.8560435945478209E-2</v>
      </c>
    </row>
    <row r="20" spans="1:4" ht="16.5" customHeight="1" x14ac:dyDescent="0.2">
      <c r="A20" s="1"/>
      <c r="B20" s="1"/>
      <c r="C20" s="1"/>
      <c r="D20" s="1"/>
    </row>
    <row r="21" spans="1:4" ht="15" customHeight="1" x14ac:dyDescent="0.2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2">
      <c r="A1" s="1"/>
      <c r="B1" s="2" t="s">
        <v>51</v>
      </c>
      <c r="C1" s="1"/>
      <c r="D1" s="1"/>
    </row>
    <row r="2" spans="1:4" ht="18" customHeight="1" x14ac:dyDescent="0.2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2">
      <c r="A3" s="1"/>
      <c r="B3" s="21" t="s">
        <v>5</v>
      </c>
      <c r="C3" s="1"/>
      <c r="D3" s="1"/>
    </row>
    <row r="4" spans="1:4" ht="15.75" customHeight="1" x14ac:dyDescent="0.2">
      <c r="A4" s="1"/>
      <c r="B4" s="7" t="s">
        <v>53</v>
      </c>
      <c r="C4" s="8"/>
      <c r="D4" s="8"/>
    </row>
    <row r="5" spans="1:4" ht="15" customHeight="1" x14ac:dyDescent="0.2">
      <c r="A5" s="1"/>
      <c r="B5" s="9" t="s">
        <v>47</v>
      </c>
      <c r="C5" s="22">
        <v>33680</v>
      </c>
      <c r="D5" s="29" t="s">
        <v>54</v>
      </c>
    </row>
    <row r="6" spans="1:4" ht="15" customHeight="1" x14ac:dyDescent="0.2">
      <c r="A6" s="1"/>
      <c r="B6" s="9" t="s">
        <v>55</v>
      </c>
      <c r="C6" s="22">
        <v>23442</v>
      </c>
      <c r="D6" s="29" t="s">
        <v>54</v>
      </c>
    </row>
    <row r="7" spans="1:4" ht="15" customHeight="1" x14ac:dyDescent="0.2">
      <c r="A7" s="1"/>
      <c r="B7" s="9" t="s">
        <v>56</v>
      </c>
      <c r="C7" s="22"/>
      <c r="D7" s="29"/>
    </row>
    <row r="8" spans="1:4" ht="15" customHeight="1" x14ac:dyDescent="0.2">
      <c r="A8" s="1"/>
      <c r="B8" s="9" t="s">
        <v>57</v>
      </c>
      <c r="C8" s="22">
        <v>-5666</v>
      </c>
      <c r="D8" s="29" t="s">
        <v>58</v>
      </c>
    </row>
    <row r="9" spans="1:4" ht="15" customHeight="1" x14ac:dyDescent="0.2">
      <c r="A9" s="1"/>
      <c r="B9" s="9" t="s">
        <v>59</v>
      </c>
      <c r="C9" s="22">
        <v>1596</v>
      </c>
      <c r="D9" s="29" t="s">
        <v>58</v>
      </c>
    </row>
    <row r="10" spans="1:4" ht="15" customHeight="1" x14ac:dyDescent="0.2">
      <c r="A10" s="1"/>
      <c r="B10" s="9" t="s">
        <v>60</v>
      </c>
      <c r="C10" s="22">
        <v>150</v>
      </c>
      <c r="D10" s="29" t="s">
        <v>58</v>
      </c>
    </row>
    <row r="11" spans="1:4" ht="15" customHeight="1" x14ac:dyDescent="0.2">
      <c r="A11" s="1"/>
      <c r="B11" s="9" t="s">
        <v>61</v>
      </c>
      <c r="C11" s="22">
        <v>2000</v>
      </c>
      <c r="D11" s="29" t="s">
        <v>58</v>
      </c>
    </row>
    <row r="12" spans="1:4" ht="15" customHeight="1" x14ac:dyDescent="0.2">
      <c r="A12" s="1"/>
      <c r="B12" s="9" t="s">
        <v>62</v>
      </c>
      <c r="C12" s="22">
        <v>-180</v>
      </c>
      <c r="D12" s="29" t="s">
        <v>58</v>
      </c>
    </row>
    <row r="13" spans="1:4" ht="15" customHeight="1" x14ac:dyDescent="0.2">
      <c r="A13" s="1"/>
      <c r="B13" s="11" t="s">
        <v>63</v>
      </c>
      <c r="C13" s="24">
        <f>SUM(C8:C12)</f>
        <v>-2100</v>
      </c>
      <c r="D13" s="29"/>
    </row>
    <row r="14" spans="1:4" ht="15" customHeight="1" x14ac:dyDescent="0.2">
      <c r="A14" s="1"/>
      <c r="B14" s="11" t="s">
        <v>64</v>
      </c>
      <c r="C14" s="24">
        <f>C5+C6+C13</f>
        <v>55022</v>
      </c>
      <c r="D14" s="29"/>
    </row>
    <row r="15" spans="1:4" ht="6" customHeight="1" x14ac:dyDescent="0.2">
      <c r="A15" s="1"/>
      <c r="B15" s="1"/>
      <c r="C15" s="1"/>
      <c r="D15" s="1"/>
    </row>
    <row r="16" spans="1:4" ht="15.75" customHeight="1" x14ac:dyDescent="0.2">
      <c r="A16" s="1"/>
      <c r="B16" s="7" t="s">
        <v>65</v>
      </c>
      <c r="C16" s="8"/>
      <c r="D16" s="8"/>
    </row>
    <row r="17" spans="1:4" ht="15" customHeight="1" x14ac:dyDescent="0.2">
      <c r="A17" s="1"/>
      <c r="B17" s="9" t="s">
        <v>66</v>
      </c>
      <c r="C17" s="22">
        <v>-24306</v>
      </c>
      <c r="D17" s="29"/>
    </row>
    <row r="18" spans="1:4" ht="15" customHeight="1" x14ac:dyDescent="0.2">
      <c r="A18" s="1"/>
      <c r="B18" s="9" t="s">
        <v>67</v>
      </c>
      <c r="C18" s="22">
        <v>4987</v>
      </c>
      <c r="D18" s="29"/>
    </row>
    <row r="19" spans="1:4" ht="15" customHeight="1" x14ac:dyDescent="0.2">
      <c r="A19" s="1"/>
      <c r="B19" s="9" t="s">
        <v>68</v>
      </c>
      <c r="C19" s="22">
        <v>-619</v>
      </c>
      <c r="D19" s="29"/>
    </row>
    <row r="20" spans="1:4" ht="15" customHeight="1" x14ac:dyDescent="0.2">
      <c r="A20" s="1"/>
      <c r="B20" s="11" t="s">
        <v>69</v>
      </c>
      <c r="C20" s="24">
        <f>SUM(C17:C19)</f>
        <v>-19938</v>
      </c>
      <c r="D20" s="29"/>
    </row>
    <row r="21" spans="1:4" ht="6" customHeight="1" x14ac:dyDescent="0.2">
      <c r="A21" s="1"/>
      <c r="B21" s="1"/>
      <c r="C21" s="1"/>
      <c r="D21" s="1"/>
    </row>
    <row r="22" spans="1:4" ht="15.75" customHeight="1" x14ac:dyDescent="0.2">
      <c r="A22" s="1"/>
      <c r="B22" s="7" t="s">
        <v>70</v>
      </c>
      <c r="C22" s="8"/>
      <c r="D22" s="8"/>
    </row>
    <row r="23" spans="1:4" ht="15" customHeight="1" x14ac:dyDescent="0.2">
      <c r="A23" s="1"/>
      <c r="B23" s="9" t="s">
        <v>71</v>
      </c>
      <c r="C23" s="22">
        <v>899</v>
      </c>
      <c r="D23" s="29"/>
    </row>
    <row r="24" spans="1:4" ht="15" customHeight="1" x14ac:dyDescent="0.2">
      <c r="A24" s="1"/>
      <c r="B24" s="9" t="s">
        <v>72</v>
      </c>
      <c r="C24" s="22">
        <v>-5912</v>
      </c>
      <c r="D24" s="29"/>
    </row>
    <row r="25" spans="1:4" ht="15" customHeight="1" x14ac:dyDescent="0.2">
      <c r="A25" s="1"/>
      <c r="B25" s="9" t="s">
        <v>73</v>
      </c>
      <c r="C25" s="22">
        <v>-16704</v>
      </c>
      <c r="D25" s="29"/>
    </row>
    <row r="26" spans="1:4" ht="15" customHeight="1" x14ac:dyDescent="0.2">
      <c r="A26" s="1"/>
      <c r="B26" s="9" t="s">
        <v>74</v>
      </c>
      <c r="C26" s="22">
        <v>-19629</v>
      </c>
      <c r="D26" s="29"/>
    </row>
    <row r="27" spans="1:4" ht="15" customHeight="1" x14ac:dyDescent="0.2">
      <c r="A27" s="1"/>
      <c r="B27" s="9" t="s">
        <v>75</v>
      </c>
      <c r="C27" s="22">
        <v>-2248</v>
      </c>
      <c r="D27" s="29"/>
    </row>
    <row r="28" spans="1:4" ht="15" customHeight="1" x14ac:dyDescent="0.2">
      <c r="A28" s="1"/>
      <c r="B28" s="11" t="s">
        <v>76</v>
      </c>
      <c r="C28" s="24">
        <f>SUM(C23:C27)</f>
        <v>-43594</v>
      </c>
      <c r="D28" s="29"/>
    </row>
    <row r="29" spans="1:4" ht="6" customHeight="1" x14ac:dyDescent="0.2">
      <c r="A29" s="1"/>
      <c r="B29" s="1"/>
      <c r="C29" s="1"/>
      <c r="D29" s="1"/>
    </row>
    <row r="30" spans="1:4" ht="15" customHeight="1" x14ac:dyDescent="0.2">
      <c r="A30" s="1"/>
      <c r="B30" s="11" t="s">
        <v>77</v>
      </c>
      <c r="C30" s="24">
        <f>C14+C20+C28</f>
        <v>-8510</v>
      </c>
      <c r="D30" s="29"/>
    </row>
    <row r="31" spans="1:4" ht="16.5" customHeight="1" x14ac:dyDescent="0.2">
      <c r="A31" s="1"/>
      <c r="B31" s="1"/>
      <c r="C31" s="1"/>
      <c r="D31" s="1"/>
    </row>
    <row r="32" spans="1:4" ht="15" customHeight="1" x14ac:dyDescent="0.2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17" sqref="A17"/>
      <selection pane="bottomRight" activeCell="C40" sqref="C40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2">
      <c r="A1" s="1"/>
      <c r="B1" s="2" t="s">
        <v>78</v>
      </c>
      <c r="C1" s="1"/>
      <c r="D1" s="1"/>
      <c r="E1" s="1"/>
    </row>
    <row r="2" spans="1:5" ht="18" customHeight="1" x14ac:dyDescent="0.2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2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2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2">
      <c r="A5" s="1"/>
      <c r="B5" s="9" t="s">
        <v>88</v>
      </c>
      <c r="C5" s="30">
        <v>111.73</v>
      </c>
      <c r="D5" s="31"/>
      <c r="E5" s="32" t="s">
        <v>89</v>
      </c>
    </row>
    <row r="6" spans="1:5" ht="15" customHeight="1" x14ac:dyDescent="0.2">
      <c r="A6" s="1"/>
      <c r="B6" s="9" t="s">
        <v>90</v>
      </c>
      <c r="C6" s="30">
        <v>4305</v>
      </c>
      <c r="D6" s="31"/>
      <c r="E6" s="32" t="s">
        <v>91</v>
      </c>
    </row>
    <row r="7" spans="1:5" ht="15" customHeight="1" x14ac:dyDescent="0.2">
      <c r="A7" s="1"/>
      <c r="B7" s="9" t="s">
        <v>92</v>
      </c>
      <c r="C7" s="30">
        <v>8.2000000000000003E-2</v>
      </c>
      <c r="D7" s="31"/>
      <c r="E7" s="32" t="s">
        <v>93</v>
      </c>
    </row>
    <row r="8" spans="1:5" ht="15" customHeight="1" x14ac:dyDescent="0.2">
      <c r="A8" s="1"/>
      <c r="B8" s="9" t="s">
        <v>94</v>
      </c>
      <c r="C8" s="30">
        <v>0.28299999999999997</v>
      </c>
      <c r="D8" s="31"/>
      <c r="E8" s="32" t="s">
        <v>95</v>
      </c>
    </row>
    <row r="9" spans="1:5" ht="15" customHeight="1" x14ac:dyDescent="0.2">
      <c r="A9" s="1"/>
      <c r="B9" s="9" t="s">
        <v>96</v>
      </c>
      <c r="C9" s="33">
        <f>C5*C6</f>
        <v>480997.65</v>
      </c>
      <c r="D9" s="31" t="s">
        <v>97</v>
      </c>
      <c r="E9" s="32" t="s">
        <v>98</v>
      </c>
    </row>
    <row r="10" spans="1:5" ht="6" customHeight="1" x14ac:dyDescent="0.2">
      <c r="A10" s="1"/>
      <c r="B10" s="1"/>
      <c r="C10" s="1"/>
      <c r="D10" s="1"/>
      <c r="E10" s="1"/>
    </row>
    <row r="11" spans="1:5" ht="15.75" customHeight="1" x14ac:dyDescent="0.2">
      <c r="A11" s="1"/>
      <c r="B11" s="7" t="s">
        <v>99</v>
      </c>
      <c r="C11" s="8"/>
      <c r="D11" s="8"/>
      <c r="E11" s="8"/>
    </row>
    <row r="12" spans="1:5" ht="15" customHeight="1" x14ac:dyDescent="0.2">
      <c r="A12" s="1"/>
      <c r="B12" s="9" t="s">
        <v>100</v>
      </c>
      <c r="C12" s="24">
        <f>'Balance Sheet'!H18</f>
        <v>212538</v>
      </c>
      <c r="D12" s="31" t="s">
        <v>101</v>
      </c>
      <c r="E12" s="32" t="s">
        <v>102</v>
      </c>
    </row>
    <row r="13" spans="1:5" ht="15" customHeight="1" x14ac:dyDescent="0.2">
      <c r="A13" s="1"/>
      <c r="B13" s="9" t="s">
        <v>103</v>
      </c>
      <c r="C13" s="24">
        <f>'Balance Sheet'!D7</f>
        <v>25120</v>
      </c>
      <c r="D13" s="31" t="s">
        <v>104</v>
      </c>
      <c r="E13" s="32" t="s">
        <v>105</v>
      </c>
    </row>
    <row r="14" spans="1:5" ht="15" customHeight="1" x14ac:dyDescent="0.2">
      <c r="A14" s="1"/>
      <c r="B14" s="9" t="s">
        <v>106</v>
      </c>
      <c r="C14" s="24">
        <f>'Balance Sheet'!D6</f>
        <v>38015</v>
      </c>
      <c r="D14" s="31" t="s">
        <v>107</v>
      </c>
      <c r="E14" s="32" t="s">
        <v>108</v>
      </c>
    </row>
    <row r="15" spans="1:5" ht="15" customHeight="1" x14ac:dyDescent="0.2">
      <c r="A15" s="1"/>
      <c r="B15" s="9" t="s">
        <v>109</v>
      </c>
      <c r="C15" s="24">
        <f>'Balance Sheet'!D20</f>
        <v>376317</v>
      </c>
      <c r="D15" s="31" t="s">
        <v>110</v>
      </c>
      <c r="E15" s="32" t="s">
        <v>111</v>
      </c>
    </row>
    <row r="16" spans="1:5" ht="15" customHeight="1" x14ac:dyDescent="0.2">
      <c r="A16" s="1"/>
      <c r="B16" s="9" t="s">
        <v>112</v>
      </c>
      <c r="C16" s="24">
        <f>'Balance Sheet'!H10+'Balance Sheet'!H18</f>
        <v>250021</v>
      </c>
      <c r="D16" s="31" t="s">
        <v>113</v>
      </c>
      <c r="E16" s="32" t="s">
        <v>114</v>
      </c>
    </row>
    <row r="17" spans="1:5" ht="6" customHeight="1" x14ac:dyDescent="0.2">
      <c r="A17" s="1"/>
      <c r="B17" s="1"/>
      <c r="C17" s="1"/>
      <c r="D17" s="1"/>
      <c r="E17" s="1"/>
    </row>
    <row r="18" spans="1:5" ht="15.75" customHeight="1" x14ac:dyDescent="0.2">
      <c r="A18" s="1"/>
      <c r="B18" s="7" t="s">
        <v>115</v>
      </c>
      <c r="C18" s="8"/>
      <c r="D18" s="8"/>
      <c r="E18" s="8"/>
    </row>
    <row r="19" spans="1:5" ht="15" customHeight="1" x14ac:dyDescent="0.2">
      <c r="A19" s="1"/>
      <c r="B19" s="9" t="s">
        <v>116</v>
      </c>
      <c r="C19" s="34">
        <f>'Income Statement'!C15+(1-C8)*'Income Statement'!C11</f>
        <v>34394.131999999998</v>
      </c>
      <c r="D19" s="31" t="s">
        <v>117</v>
      </c>
      <c r="E19" s="32" t="s">
        <v>118</v>
      </c>
    </row>
    <row r="20" spans="1:5" ht="15" customHeight="1" x14ac:dyDescent="0.2">
      <c r="A20" s="1"/>
      <c r="B20" s="9" t="s">
        <v>119</v>
      </c>
      <c r="C20" s="33">
        <f>'Income Statement'!C4/365</f>
        <v>957.76712328767121</v>
      </c>
      <c r="D20" s="31" t="s">
        <v>120</v>
      </c>
      <c r="E20" s="32" t="s">
        <v>121</v>
      </c>
    </row>
    <row r="21" spans="1:5" ht="15" customHeight="1" x14ac:dyDescent="0.2">
      <c r="A21" s="1"/>
      <c r="B21" s="9" t="s">
        <v>122</v>
      </c>
      <c r="C21" s="24">
        <f>'Balance Sheet'!G18</f>
        <v>270606</v>
      </c>
      <c r="D21" s="31" t="s">
        <v>123</v>
      </c>
      <c r="E21" s="32" t="s">
        <v>124</v>
      </c>
    </row>
    <row r="22" spans="1:5" ht="15" customHeight="1" x14ac:dyDescent="0.2">
      <c r="A22" s="1"/>
      <c r="B22" s="9" t="s">
        <v>125</v>
      </c>
      <c r="C22" s="24">
        <f>'Balance Sheet'!C5</f>
        <v>23029</v>
      </c>
      <c r="D22" s="31" t="s">
        <v>126</v>
      </c>
      <c r="E22" s="32" t="s">
        <v>127</v>
      </c>
    </row>
    <row r="23" spans="1:5" ht="15" customHeight="1" x14ac:dyDescent="0.2">
      <c r="A23" s="1"/>
      <c r="B23" s="9" t="s">
        <v>128</v>
      </c>
      <c r="C23" s="24">
        <f>'Balance Sheet'!C9</f>
        <v>91990</v>
      </c>
      <c r="D23" s="31" t="s">
        <v>129</v>
      </c>
      <c r="E23" s="32" t="s">
        <v>130</v>
      </c>
    </row>
    <row r="24" spans="1:5" ht="15" customHeight="1" x14ac:dyDescent="0.2">
      <c r="A24" s="1"/>
      <c r="B24" s="9" t="s">
        <v>131</v>
      </c>
      <c r="C24" s="24">
        <f>'Balance Sheet'!G8</f>
        <v>70307</v>
      </c>
      <c r="D24" s="31" t="s">
        <v>132</v>
      </c>
      <c r="E24" s="32" t="s">
        <v>133</v>
      </c>
    </row>
    <row r="25" spans="1:5" ht="15" customHeight="1" x14ac:dyDescent="0.2">
      <c r="A25" s="1"/>
      <c r="B25" s="9" t="s">
        <v>134</v>
      </c>
      <c r="C25" s="33">
        <f>'Income Statement'!C5/365</f>
        <v>756.91506849315067</v>
      </c>
      <c r="D25" s="31" t="s">
        <v>135</v>
      </c>
      <c r="E25" s="32" t="s">
        <v>136</v>
      </c>
    </row>
    <row r="26" spans="1:5" ht="15" customHeight="1" x14ac:dyDescent="0.2">
      <c r="A26" s="1"/>
      <c r="B26" s="9" t="s">
        <v>137</v>
      </c>
      <c r="C26" s="24">
        <f>'Balance Sheet'!G10</f>
        <v>36755</v>
      </c>
      <c r="D26" s="31" t="s">
        <v>138</v>
      </c>
      <c r="E26" s="32" t="s">
        <v>139</v>
      </c>
    </row>
    <row r="27" spans="1:5" ht="15" customHeight="1" x14ac:dyDescent="0.2">
      <c r="A27" s="1"/>
      <c r="B27" s="9" t="s">
        <v>140</v>
      </c>
      <c r="C27" s="24">
        <f>'Balance Sheet'!C9-'Balance Sheet'!G8</f>
        <v>21683</v>
      </c>
      <c r="D27" s="31" t="s">
        <v>141</v>
      </c>
      <c r="E27" s="32" t="s">
        <v>142</v>
      </c>
    </row>
    <row r="28" spans="1:5" ht="15" customHeight="1" x14ac:dyDescent="0.2">
      <c r="A28" s="1"/>
      <c r="B28" s="9" t="s">
        <v>143</v>
      </c>
      <c r="C28" s="24">
        <f>'Balance Sheet'!C20</f>
        <v>453475</v>
      </c>
      <c r="D28" s="31" t="s">
        <v>144</v>
      </c>
      <c r="E28" s="32" t="s">
        <v>145</v>
      </c>
    </row>
    <row r="29" spans="1:5" ht="15" customHeight="1" x14ac:dyDescent="0.2">
      <c r="A29" s="1"/>
      <c r="B29" s="9" t="s">
        <v>146</v>
      </c>
      <c r="C29" s="24">
        <f>'Balance Sheet'!G10+'Balance Sheet'!G18</f>
        <v>307361</v>
      </c>
      <c r="D29" s="31" t="s">
        <v>147</v>
      </c>
      <c r="E29" s="32" t="s">
        <v>148</v>
      </c>
    </row>
    <row r="30" spans="1:5" ht="15" customHeight="1" x14ac:dyDescent="0.2">
      <c r="A30" s="1"/>
      <c r="B30" s="9" t="s">
        <v>149</v>
      </c>
      <c r="C30" s="24">
        <f>'Balance Sheet'!G13</f>
        <v>182869</v>
      </c>
      <c r="D30" s="31" t="s">
        <v>150</v>
      </c>
      <c r="E30" s="32" t="s">
        <v>151</v>
      </c>
    </row>
    <row r="31" spans="1:5" ht="6" customHeight="1" x14ac:dyDescent="0.2">
      <c r="A31" s="1"/>
      <c r="B31" s="1"/>
      <c r="C31" s="1"/>
      <c r="D31" s="1"/>
      <c r="E31" s="1"/>
    </row>
    <row r="32" spans="1:5" ht="15.75" customHeight="1" x14ac:dyDescent="0.2">
      <c r="A32" s="1"/>
      <c r="B32" s="7" t="s">
        <v>152</v>
      </c>
      <c r="C32" s="8"/>
      <c r="D32" s="8"/>
      <c r="E32" s="8"/>
    </row>
    <row r="33" spans="1:5" ht="15" customHeight="1" x14ac:dyDescent="0.2">
      <c r="A33" s="1"/>
      <c r="B33" s="9" t="s">
        <v>153</v>
      </c>
      <c r="C33" s="24">
        <f>AVERAGE(C12,C21)</f>
        <v>241572</v>
      </c>
      <c r="D33" s="31" t="s">
        <v>154</v>
      </c>
      <c r="E33" s="32" t="s">
        <v>155</v>
      </c>
    </row>
    <row r="34" spans="1:5" ht="15" customHeight="1" x14ac:dyDescent="0.2">
      <c r="A34" s="1"/>
      <c r="B34" s="9" t="s">
        <v>156</v>
      </c>
      <c r="C34" s="24">
        <f>AVERAGE(C15,C28)</f>
        <v>414896</v>
      </c>
      <c r="D34" s="31" t="s">
        <v>157</v>
      </c>
      <c r="E34" s="32" t="s">
        <v>158</v>
      </c>
    </row>
    <row r="35" spans="1:5" ht="15" customHeight="1" x14ac:dyDescent="0.2">
      <c r="A35" s="1"/>
      <c r="B35" s="9" t="s">
        <v>159</v>
      </c>
      <c r="C35" s="24">
        <f>AVERAGE(C16,C29)</f>
        <v>278691</v>
      </c>
      <c r="D35" s="31" t="s">
        <v>160</v>
      </c>
      <c r="E35" s="32" t="s">
        <v>161</v>
      </c>
    </row>
    <row r="36" spans="1:5" ht="15" customHeight="1" x14ac:dyDescent="0.2">
      <c r="A36" s="1"/>
      <c r="B36" s="9" t="s">
        <v>162</v>
      </c>
      <c r="C36" s="24">
        <f>C26+C21</f>
        <v>307361</v>
      </c>
      <c r="D36" s="31" t="s">
        <v>163</v>
      </c>
      <c r="E36" s="32" t="s">
        <v>164</v>
      </c>
    </row>
    <row r="37" spans="1:5" ht="6" customHeight="1" x14ac:dyDescent="0.2">
      <c r="A37" s="1"/>
      <c r="B37" s="1"/>
      <c r="C37" s="1"/>
      <c r="D37" s="1"/>
      <c r="E37" s="1"/>
    </row>
    <row r="38" spans="1:5" ht="6" customHeight="1" x14ac:dyDescent="0.2">
      <c r="A38" s="1"/>
      <c r="B38" s="1"/>
      <c r="C38" s="1"/>
      <c r="D38" s="1"/>
      <c r="E38" s="1"/>
    </row>
    <row r="39" spans="1:5" ht="18" customHeight="1" x14ac:dyDescent="0.2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2">
      <c r="A40" s="1"/>
      <c r="B40" s="7" t="s">
        <v>168</v>
      </c>
      <c r="C40" s="8"/>
      <c r="D40" s="8"/>
      <c r="E40" s="8"/>
    </row>
    <row r="41" spans="1:5" ht="15" customHeight="1" x14ac:dyDescent="0.2">
      <c r="A41" s="1"/>
      <c r="B41" s="9" t="s">
        <v>169</v>
      </c>
      <c r="C41" s="35">
        <f>C9-C21</f>
        <v>210391.65000000002</v>
      </c>
      <c r="D41" s="31" t="s">
        <v>170</v>
      </c>
      <c r="E41" s="32"/>
    </row>
    <row r="42" spans="1:5" ht="15" customHeight="1" x14ac:dyDescent="0.2">
      <c r="A42" s="1"/>
      <c r="B42" s="9" t="s">
        <v>171</v>
      </c>
      <c r="C42" s="36">
        <f>C9/C21</f>
        <v>1.7774833152258265</v>
      </c>
      <c r="D42" s="31" t="s">
        <v>172</v>
      </c>
      <c r="E42" s="32"/>
    </row>
    <row r="43" spans="1:5" ht="15" customHeight="1" x14ac:dyDescent="0.2">
      <c r="A43" s="1"/>
      <c r="B43" s="9" t="s">
        <v>173</v>
      </c>
      <c r="C43" s="35">
        <f>C19-C7*C16</f>
        <v>13892.409999999996</v>
      </c>
      <c r="D43" s="31" t="s">
        <v>174</v>
      </c>
      <c r="E43" s="32"/>
    </row>
    <row r="44" spans="1:5" ht="6" customHeight="1" x14ac:dyDescent="0.2">
      <c r="A44" s="1"/>
      <c r="B44" s="1"/>
      <c r="C44" s="1"/>
      <c r="D44" s="1"/>
      <c r="E44" s="1"/>
    </row>
    <row r="45" spans="1:5" ht="15.75" customHeight="1" x14ac:dyDescent="0.2">
      <c r="A45" s="1"/>
      <c r="B45" s="7" t="s">
        <v>175</v>
      </c>
      <c r="C45" s="8"/>
      <c r="D45" s="8"/>
      <c r="E45" s="8"/>
    </row>
    <row r="46" spans="1:5" ht="15" customHeight="1" x14ac:dyDescent="0.2">
      <c r="A46" s="1"/>
      <c r="B46" s="9" t="s">
        <v>176</v>
      </c>
      <c r="C46" s="37">
        <f>C19/C15</f>
        <v>9.1396700122503102E-2</v>
      </c>
      <c r="D46" s="31" t="s">
        <v>177</v>
      </c>
      <c r="E46" s="32"/>
    </row>
    <row r="47" spans="1:5" ht="15" customHeight="1" x14ac:dyDescent="0.2">
      <c r="A47" s="1"/>
      <c r="B47" s="9" t="s">
        <v>178</v>
      </c>
      <c r="C47" s="37">
        <f>C19/C16</f>
        <v>0.13756497254230643</v>
      </c>
      <c r="D47" s="31" t="s">
        <v>179</v>
      </c>
      <c r="E47" s="32"/>
    </row>
    <row r="48" spans="1:5" ht="15" customHeight="1" x14ac:dyDescent="0.2">
      <c r="A48" s="1"/>
      <c r="B48" s="9" t="s">
        <v>180</v>
      </c>
      <c r="C48" s="37">
        <f>'Income Statement'!C15/C12</f>
        <v>0.15846578023694585</v>
      </c>
      <c r="D48" s="31" t="s">
        <v>181</v>
      </c>
      <c r="E48" s="32"/>
    </row>
    <row r="49" spans="1:5" ht="15" customHeight="1" x14ac:dyDescent="0.2">
      <c r="A49" s="1"/>
      <c r="B49" s="9" t="s">
        <v>182</v>
      </c>
      <c r="C49" s="37">
        <f>C19/C34</f>
        <v>8.2898200994948129E-2</v>
      </c>
      <c r="D49" s="31" t="s">
        <v>183</v>
      </c>
      <c r="E49" s="32"/>
    </row>
    <row r="50" spans="1:5" ht="15" customHeight="1" x14ac:dyDescent="0.2">
      <c r="A50" s="1"/>
      <c r="B50" s="9" t="s">
        <v>184</v>
      </c>
      <c r="C50" s="37">
        <f>C19/C35</f>
        <v>0.12341314215385497</v>
      </c>
      <c r="D50" s="31" t="s">
        <v>185</v>
      </c>
      <c r="E50" s="32"/>
    </row>
    <row r="51" spans="1:5" ht="15" customHeight="1" x14ac:dyDescent="0.2">
      <c r="A51" s="1"/>
      <c r="B51" s="9" t="s">
        <v>186</v>
      </c>
      <c r="C51" s="37">
        <f>'Income Statement'!C15/C33</f>
        <v>0.13942013147219048</v>
      </c>
      <c r="D51" s="31" t="s">
        <v>187</v>
      </c>
      <c r="E51" s="32"/>
    </row>
    <row r="52" spans="1:5" ht="6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7" t="s">
        <v>188</v>
      </c>
      <c r="C53" s="8"/>
      <c r="D53" s="8"/>
      <c r="E53" s="8"/>
    </row>
    <row r="54" spans="1:5" ht="15" customHeight="1" x14ac:dyDescent="0.2">
      <c r="A54" s="1"/>
      <c r="B54" s="9" t="s">
        <v>189</v>
      </c>
      <c r="C54" s="36">
        <f>'Income Statement'!C4/C15</f>
        <v>0.92896414459086352</v>
      </c>
      <c r="D54" s="31" t="s">
        <v>190</v>
      </c>
      <c r="E54" s="32" t="s">
        <v>191</v>
      </c>
    </row>
    <row r="55" spans="1:5" ht="15" customHeight="1" x14ac:dyDescent="0.2">
      <c r="A55" s="1"/>
      <c r="B55" s="9" t="s">
        <v>192</v>
      </c>
      <c r="C55" s="36">
        <f>'Income Statement'!C4/C14</f>
        <v>9.1959752729185844</v>
      </c>
      <c r="D55" s="31" t="s">
        <v>193</v>
      </c>
      <c r="E55" s="32"/>
    </row>
    <row r="56" spans="1:5" ht="15" customHeight="1" x14ac:dyDescent="0.2">
      <c r="A56" s="1"/>
      <c r="B56" s="9" t="s">
        <v>194</v>
      </c>
      <c r="C56" s="38">
        <f>C14/C20</f>
        <v>39.691276799633854</v>
      </c>
      <c r="D56" s="31" t="s">
        <v>195</v>
      </c>
      <c r="E56" s="32"/>
    </row>
    <row r="57" spans="1:5" ht="15" customHeight="1" x14ac:dyDescent="0.2">
      <c r="A57" s="1"/>
      <c r="B57" s="9" t="s">
        <v>196</v>
      </c>
      <c r="C57" s="36">
        <f>'Income Statement'!C5/C13</f>
        <v>10.998168789808917</v>
      </c>
      <c r="D57" s="31" t="s">
        <v>197</v>
      </c>
      <c r="E57" s="32"/>
    </row>
    <row r="58" spans="1:5" ht="15" customHeight="1" x14ac:dyDescent="0.2">
      <c r="A58" s="1"/>
      <c r="B58" s="9" t="s">
        <v>198</v>
      </c>
      <c r="C58" s="38">
        <f>C13/C25</f>
        <v>33.187343000065155</v>
      </c>
      <c r="D58" s="31" t="s">
        <v>199</v>
      </c>
      <c r="E58" s="32"/>
    </row>
    <row r="59" spans="1:5" ht="15" customHeight="1" x14ac:dyDescent="0.2">
      <c r="A59" s="1"/>
      <c r="B59" s="9" t="s">
        <v>200</v>
      </c>
      <c r="C59" s="37">
        <f>'Income Statement'!C15/'Income Statement'!C4</f>
        <v>9.6342806470529341E-2</v>
      </c>
      <c r="D59" s="31" t="s">
        <v>201</v>
      </c>
      <c r="E59" s="32"/>
    </row>
    <row r="60" spans="1:5" ht="15" customHeight="1" x14ac:dyDescent="0.2">
      <c r="A60" s="1"/>
      <c r="B60" s="9" t="s">
        <v>202</v>
      </c>
      <c r="C60" s="37">
        <f>C19/'Income Statement'!C4</f>
        <v>9.8385605789722094E-2</v>
      </c>
      <c r="D60" s="31" t="s">
        <v>203</v>
      </c>
      <c r="E60" s="32" t="s">
        <v>204</v>
      </c>
    </row>
    <row r="61" spans="1:5" ht="6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7" t="s">
        <v>205</v>
      </c>
      <c r="C62" s="8"/>
      <c r="D62" s="8"/>
      <c r="E62" s="8"/>
    </row>
    <row r="63" spans="1:5" ht="15" customHeight="1" x14ac:dyDescent="0.2">
      <c r="A63" s="1"/>
      <c r="B63" s="9" t="s">
        <v>206</v>
      </c>
      <c r="C63" s="37">
        <f>C26/(C26+C21)</f>
        <v>0.11958251046814658</v>
      </c>
      <c r="D63" s="31" t="s">
        <v>207</v>
      </c>
      <c r="E63" s="32"/>
    </row>
    <row r="64" spans="1:5" ht="15" customHeight="1" x14ac:dyDescent="0.2">
      <c r="A64" s="1"/>
      <c r="B64" s="9" t="s">
        <v>208</v>
      </c>
      <c r="C64" s="37">
        <f>C26/C21</f>
        <v>0.13582477846019675</v>
      </c>
      <c r="D64" s="31" t="s">
        <v>209</v>
      </c>
      <c r="E64" s="32"/>
    </row>
    <row r="65" spans="1:5" ht="15" customHeight="1" x14ac:dyDescent="0.2">
      <c r="A65" s="1"/>
      <c r="B65" s="9" t="s">
        <v>210</v>
      </c>
      <c r="C65" s="37">
        <f>C30/C28</f>
        <v>0.40326148078725399</v>
      </c>
      <c r="D65" s="31" t="s">
        <v>211</v>
      </c>
      <c r="E65" s="32"/>
    </row>
    <row r="66" spans="1:5" ht="15" customHeight="1" x14ac:dyDescent="0.2">
      <c r="A66" s="1"/>
      <c r="B66" s="9" t="s">
        <v>212</v>
      </c>
      <c r="C66" s="36">
        <f>'Income Statement'!C8/'Income Statement'!C11</f>
        <v>50.069277108433738</v>
      </c>
      <c r="D66" s="31" t="s">
        <v>213</v>
      </c>
      <c r="E66" s="32"/>
    </row>
    <row r="67" spans="1:5" ht="15" customHeight="1" x14ac:dyDescent="0.2">
      <c r="A67" s="1"/>
      <c r="B67" s="9" t="s">
        <v>214</v>
      </c>
      <c r="C67" s="36">
        <f>('Income Statement'!C8+'Income Statement'!C7)/'Income Statement'!C11</f>
        <v>73.605421686746993</v>
      </c>
      <c r="D67" s="31" t="s">
        <v>215</v>
      </c>
      <c r="E67" s="32"/>
    </row>
    <row r="68" spans="1:5" ht="15" customHeight="1" x14ac:dyDescent="0.2">
      <c r="A68" s="1"/>
      <c r="B68" s="9" t="s">
        <v>216</v>
      </c>
      <c r="C68" s="37">
        <f>'Income Statement'!C15/C19</f>
        <v>0.97923680702277938</v>
      </c>
      <c r="D68" s="31" t="s">
        <v>217</v>
      </c>
      <c r="E68" s="32" t="s">
        <v>218</v>
      </c>
    </row>
    <row r="69" spans="1:5" ht="15" customHeight="1" x14ac:dyDescent="0.2">
      <c r="A69" s="1"/>
      <c r="B69" s="9" t="s">
        <v>219</v>
      </c>
      <c r="C69" s="36">
        <f>C28/C21</f>
        <v>1.6757758512375927</v>
      </c>
      <c r="D69" s="31" t="s">
        <v>220</v>
      </c>
      <c r="E69" s="32" t="s">
        <v>221</v>
      </c>
    </row>
    <row r="70" spans="1:5" ht="6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7" t="s">
        <v>222</v>
      </c>
      <c r="C71" s="8"/>
      <c r="D71" s="8"/>
      <c r="E71" s="8"/>
    </row>
    <row r="72" spans="1:5" ht="15" customHeight="1" x14ac:dyDescent="0.2">
      <c r="A72" s="1"/>
      <c r="B72" s="9" t="s">
        <v>223</v>
      </c>
      <c r="C72" s="37">
        <f>C27/C28</f>
        <v>4.7815204807321245E-2</v>
      </c>
      <c r="D72" s="31" t="s">
        <v>224</v>
      </c>
      <c r="E72" s="32"/>
    </row>
    <row r="73" spans="1:5" ht="15" customHeight="1" x14ac:dyDescent="0.2">
      <c r="A73" s="1"/>
      <c r="B73" s="9" t="s">
        <v>225</v>
      </c>
      <c r="C73" s="37">
        <f>C23/C24</f>
        <v>1.3084045685351386</v>
      </c>
      <c r="D73" s="31" t="s">
        <v>226</v>
      </c>
      <c r="E73" s="32"/>
    </row>
    <row r="74" spans="1:5" ht="15" customHeight="1" x14ac:dyDescent="0.2">
      <c r="A74" s="1"/>
      <c r="B74" s="9" t="s">
        <v>227</v>
      </c>
      <c r="C74" s="37">
        <f>(C22+'Balance Sheet'!C6)/C24</f>
        <v>0.94883866471332867</v>
      </c>
      <c r="D74" s="31" t="s">
        <v>228</v>
      </c>
      <c r="E74" s="32"/>
    </row>
    <row r="75" spans="1:5" ht="15" customHeight="1" x14ac:dyDescent="0.2">
      <c r="A75" s="1"/>
      <c r="B75" s="9" t="s">
        <v>229</v>
      </c>
      <c r="C75" s="37">
        <f>C22/C24</f>
        <v>0.32754917718008164</v>
      </c>
      <c r="D75" s="31" t="s">
        <v>230</v>
      </c>
      <c r="E75" s="32"/>
    </row>
    <row r="76" spans="1:5" ht="6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7" t="s">
        <v>231</v>
      </c>
      <c r="C77" s="8"/>
      <c r="D77" s="8"/>
      <c r="E77" s="8"/>
    </row>
    <row r="78" spans="1:5" ht="15" customHeight="1" x14ac:dyDescent="0.2">
      <c r="A78" s="1"/>
      <c r="B78" s="9" t="s">
        <v>232</v>
      </c>
      <c r="C78" s="37">
        <f>C54*C60</f>
        <v>9.1396700122503088E-2</v>
      </c>
      <c r="D78" s="31" t="s">
        <v>233</v>
      </c>
      <c r="E78" s="32"/>
    </row>
    <row r="79" spans="1:5" ht="15" customHeight="1" x14ac:dyDescent="0.2">
      <c r="A79" s="1"/>
      <c r="B79" s="39" t="s">
        <v>234</v>
      </c>
      <c r="C79" s="40"/>
      <c r="D79" s="31" t="s">
        <v>235</v>
      </c>
      <c r="E79" s="32" t="s">
        <v>191</v>
      </c>
    </row>
    <row r="80" spans="1:5" ht="15" customHeight="1" x14ac:dyDescent="0.2">
      <c r="A80" s="1"/>
      <c r="B80" s="39" t="s">
        <v>236</v>
      </c>
      <c r="C80" s="40"/>
      <c r="D80" s="31" t="s">
        <v>235</v>
      </c>
      <c r="E80" s="32" t="s">
        <v>204</v>
      </c>
    </row>
    <row r="81" spans="1:5" ht="6" customHeight="1" x14ac:dyDescent="0.2">
      <c r="A81" s="1"/>
      <c r="B81" s="1"/>
      <c r="C81" s="1"/>
      <c r="D81" s="1"/>
      <c r="E81" s="1"/>
    </row>
    <row r="82" spans="1:5" ht="15" customHeight="1" x14ac:dyDescent="0.2">
      <c r="A82" s="1"/>
      <c r="B82" s="9" t="s">
        <v>237</v>
      </c>
      <c r="C82" s="37">
        <f>C69*C54*C60*C68</f>
        <v>0.14998028436047831</v>
      </c>
      <c r="D82" s="31" t="s">
        <v>238</v>
      </c>
      <c r="E82" s="32"/>
    </row>
    <row r="83" spans="1:5" ht="15" customHeight="1" x14ac:dyDescent="0.2">
      <c r="A83" s="1"/>
      <c r="B83" s="39" t="s">
        <v>239</v>
      </c>
      <c r="C83" s="40"/>
      <c r="D83" s="31" t="s">
        <v>240</v>
      </c>
      <c r="E83" s="32" t="s">
        <v>221</v>
      </c>
    </row>
    <row r="84" spans="1:5" ht="15" customHeight="1" x14ac:dyDescent="0.2">
      <c r="A84" s="1"/>
      <c r="B84" s="39" t="s">
        <v>234</v>
      </c>
      <c r="C84" s="40"/>
      <c r="D84" s="31" t="s">
        <v>235</v>
      </c>
      <c r="E84" s="32" t="s">
        <v>191</v>
      </c>
    </row>
    <row r="85" spans="1:5" ht="15" customHeight="1" x14ac:dyDescent="0.2">
      <c r="A85" s="1"/>
      <c r="B85" s="39" t="s">
        <v>236</v>
      </c>
      <c r="C85" s="40"/>
      <c r="D85" s="31" t="s">
        <v>235</v>
      </c>
      <c r="E85" s="32" t="s">
        <v>204</v>
      </c>
    </row>
    <row r="86" spans="1:5" ht="15" customHeight="1" x14ac:dyDescent="0.2">
      <c r="A86" s="1"/>
      <c r="B86" s="39" t="s">
        <v>241</v>
      </c>
      <c r="C86" s="40"/>
      <c r="D86" s="31" t="s">
        <v>240</v>
      </c>
      <c r="E86" s="32" t="s">
        <v>218</v>
      </c>
    </row>
    <row r="87" spans="1:5" ht="6" customHeight="1" x14ac:dyDescent="0.2">
      <c r="A87" s="1"/>
      <c r="B87" s="1"/>
      <c r="C87" s="1"/>
      <c r="D87" s="1"/>
      <c r="E87" s="1"/>
    </row>
    <row r="88" spans="1:5" ht="16.5" customHeight="1" x14ac:dyDescent="0.2">
      <c r="A88" s="1"/>
      <c r="B88" s="1"/>
      <c r="C88" s="1"/>
      <c r="D88" s="1"/>
      <c r="E88" s="1"/>
    </row>
    <row r="89" spans="1:5" ht="13.5" customHeight="1" x14ac:dyDescent="0.2">
      <c r="A89" s="1"/>
      <c r="B89" s="41" t="s">
        <v>242</v>
      </c>
      <c r="C89" s="42" t="s">
        <v>243</v>
      </c>
      <c r="D89" s="43" t="s">
        <v>244</v>
      </c>
      <c r="E89" s="44" t="s">
        <v>245</v>
      </c>
    </row>
    <row r="90" spans="1:5" ht="15" customHeight="1" x14ac:dyDescent="0.2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: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3" width="55" customWidth="1"/>
  </cols>
  <sheetData>
    <row r="1" spans="1:3" ht="21.75" customHeight="1" x14ac:dyDescent="0.2">
      <c r="A1" s="1"/>
      <c r="B1" s="45" t="s">
        <v>246</v>
      </c>
      <c r="C1" s="1"/>
    </row>
    <row r="2" spans="1:3" ht="16.5" customHeight="1" x14ac:dyDescent="0.2">
      <c r="A2" s="1"/>
      <c r="B2" s="1"/>
      <c r="C2" s="1"/>
    </row>
    <row r="3" spans="1:3" ht="15" customHeight="1" x14ac:dyDescent="0.2">
      <c r="A3" s="1"/>
      <c r="B3" s="46" t="s">
        <v>247</v>
      </c>
      <c r="C3" s="47" t="s">
        <v>248</v>
      </c>
    </row>
    <row r="4" spans="1:3" ht="15" customHeight="1" x14ac:dyDescent="0.2">
      <c r="A4" s="1"/>
      <c r="B4" s="46" t="s">
        <v>249</v>
      </c>
      <c r="C4" s="47" t="s">
        <v>250</v>
      </c>
    </row>
    <row r="5" spans="1:3" ht="15" customHeight="1" x14ac:dyDescent="0.2">
      <c r="A5" s="1"/>
      <c r="B5" s="46" t="s">
        <v>251</v>
      </c>
      <c r="C5" s="47" t="s">
        <v>252</v>
      </c>
    </row>
    <row r="6" spans="1:3" ht="15" customHeight="1" x14ac:dyDescent="0.2">
      <c r="A6" s="1"/>
      <c r="B6" s="46" t="s">
        <v>253</v>
      </c>
      <c r="C6" s="47" t="s">
        <v>2</v>
      </c>
    </row>
    <row r="7" spans="1:3" ht="15" customHeight="1" x14ac:dyDescent="0.2">
      <c r="A7" s="1"/>
      <c r="B7" s="46" t="s">
        <v>254</v>
      </c>
      <c r="C7" s="47" t="s">
        <v>3</v>
      </c>
    </row>
    <row r="8" spans="1:3" ht="15" customHeight="1" x14ac:dyDescent="0.2">
      <c r="A8" s="1"/>
      <c r="B8" s="46" t="s">
        <v>255</v>
      </c>
      <c r="C8" s="47" t="s">
        <v>256</v>
      </c>
    </row>
    <row r="9" spans="1:3" ht="15" customHeight="1" x14ac:dyDescent="0.2">
      <c r="A9" s="1"/>
      <c r="B9" s="46" t="s">
        <v>257</v>
      </c>
      <c r="C9" s="47" t="s">
        <v>258</v>
      </c>
    </row>
    <row r="10" spans="1:3" ht="15" customHeight="1" x14ac:dyDescent="0.2">
      <c r="A10" s="1"/>
      <c r="B10" s="46" t="s">
        <v>259</v>
      </c>
      <c r="C10" s="47" t="s">
        <v>260</v>
      </c>
    </row>
    <row r="11" spans="1:3" ht="15" customHeight="1" x14ac:dyDescent="0.2">
      <c r="A11" s="1"/>
      <c r="B11" s="46" t="s">
        <v>261</v>
      </c>
      <c r="C11" s="47" t="s">
        <v>262</v>
      </c>
    </row>
    <row r="12" spans="1:3" ht="15" customHeight="1" x14ac:dyDescent="0.2">
      <c r="A12" s="1"/>
      <c r="B12" s="46" t="s">
        <v>263</v>
      </c>
      <c r="C12" s="47" t="s">
        <v>264</v>
      </c>
    </row>
    <row r="13" spans="1:3" ht="15" customHeight="1" x14ac:dyDescent="0.2">
      <c r="A13" s="1"/>
      <c r="B13" s="46" t="s">
        <v>265</v>
      </c>
      <c r="C13" s="47" t="s">
        <v>266</v>
      </c>
    </row>
    <row r="14" spans="1:3" ht="15" customHeight="1" x14ac:dyDescent="0.2">
      <c r="A14" s="1"/>
      <c r="B14" s="1"/>
      <c r="C14" s="47"/>
    </row>
    <row r="15" spans="1:3" ht="15" customHeight="1" x14ac:dyDescent="0.2">
      <c r="A15" s="1"/>
      <c r="B15" s="46" t="s">
        <v>267</v>
      </c>
      <c r="C15" s="47" t="s">
        <v>268</v>
      </c>
    </row>
    <row r="16" spans="1:3" ht="15" customHeight="1" x14ac:dyDescent="0.2">
      <c r="A16" s="1"/>
      <c r="B16" s="46" t="s">
        <v>269</v>
      </c>
      <c r="C16" s="47" t="s">
        <v>270</v>
      </c>
    </row>
    <row r="17" spans="1:3" ht="15" customHeight="1" x14ac:dyDescent="0.2">
      <c r="A17" s="1"/>
      <c r="B17" s="46" t="s">
        <v>271</v>
      </c>
      <c r="C17" s="47" t="s">
        <v>272</v>
      </c>
    </row>
    <row r="18" spans="1:3" ht="15" customHeight="1" x14ac:dyDescent="0.2">
      <c r="A18" s="1"/>
      <c r="B18" s="46" t="s">
        <v>273</v>
      </c>
      <c r="C18" s="47" t="s">
        <v>274</v>
      </c>
    </row>
    <row r="19" spans="1:3" ht="15" customHeight="1" x14ac:dyDescent="0.2">
      <c r="A19" s="1"/>
      <c r="B19" s="1"/>
      <c r="C19" s="47"/>
    </row>
    <row r="20" spans="1:3" ht="15" customHeight="1" x14ac:dyDescent="0.2">
      <c r="A20" s="1"/>
      <c r="B20" s="46" t="s">
        <v>275</v>
      </c>
      <c r="C20" s="47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 Chang</cp:lastModifiedBy>
  <cp:revision>0</cp:revision>
  <dcterms:created xsi:type="dcterms:W3CDTF">2026-03-25T17:31:22Z</dcterms:created>
  <dcterms:modified xsi:type="dcterms:W3CDTF">2026-04-17T20:03:47Z</dcterms:modified>
  <dc:language>en-US</dc:language>
</cp:coreProperties>
</file>